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theme/theme1.xml" ContentType="application/vnd.openxmlformats-officedocument.theme+xml"/>
  <Override PartName="/xl/ctrlProps/ctrlProp1.xml" ContentType="application/vnd.ms-excel.controlproperties+xml"/>
  <Override PartName="/docProps/app.xml" ContentType="application/vnd.openxmlformats-officedocument.extended-properties+xml"/>
  <Override PartName="/xl/externalLinks/externalLink1.xml" ContentType="application/vnd.openxmlformats-officedocument.spreadsheetml.externalLink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col\Desktop\CFR\Impressions Billy\"/>
    </mc:Choice>
  </mc:AlternateContent>
  <bookViews>
    <workbookView xWindow="0" yWindow="0" windowWidth="23040" windowHeight="8232"/>
  </bookViews>
  <sheets>
    <sheet name="Les STL " sheetId="1" r:id="rId1"/>
    <sheet name="Programme Impression" sheetId="2" r:id="rId2"/>
    <sheet name="stats" sheetId="4" r:id="rId3"/>
    <sheet name="Conclusion" sheetId="5" r:id="rId4"/>
  </sheets>
  <externalReferences>
    <externalReference r:id="rId5"/>
  </externalReferences>
  <definedNames>
    <definedName name="_xlnm._FilterDatabase" localSheetId="0" hidden="1">'Les STL '!$A$7:$L$232</definedName>
    <definedName name="Categorie">'Les STL '!$A$8:$A$232</definedName>
    <definedName name="Categorie_Piece">stats!$A$2:$A$11</definedName>
    <definedName name="Début">stats!$G$2:$G$11</definedName>
    <definedName name="Emplacement">'Les STL '!$B$8:$B$232</definedName>
    <definedName name="Férier">stats!$M$2:$M$19</definedName>
    <definedName name="Fichier_initial">'Les STL '!$C$8:$C$232</definedName>
    <definedName name="Fin">stats!$H$2:$H$11</definedName>
    <definedName name="Id_Impression">'Les STL '!$L$8:$L$232</definedName>
    <definedName name="J_En_commun">stats!$D$2:$D$11</definedName>
    <definedName name="Jour_Impression">'[1]Total  '!$K$8:$K$232</definedName>
    <definedName name="Jour_impressions">stats!$C$2:$C$11</definedName>
    <definedName name="Poids">stats!$F$2:$F$11</definedName>
    <definedName name="Poids_g">'Les STL '!$H$8:$H$232</definedName>
    <definedName name="Poids_total__g">'Les STL '!$J$8:$J$232</definedName>
    <definedName name="Quantite">stats!$E$2:$E$11</definedName>
    <definedName name="Quantité_à_imprimer_12_2017">'Les STL '!$E$8:$E$232</definedName>
    <definedName name="Quantite_Total">'Les STL '!$D$8:$D$232</definedName>
    <definedName name="Rentrée">stats!$L$2:$L$19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'Programme Impression'!$D$76</definedName>
    <definedName name="solver_typ" localSheetId="1" hidden="1">1</definedName>
    <definedName name="solver_val" localSheetId="1" hidden="1">0</definedName>
    <definedName name="solver_ver" localSheetId="1" hidden="1">3</definedName>
    <definedName name="Temps_de_fabrication">'Les STL '!$F$8:$F$232</definedName>
    <definedName name="Temps_en_minutes">'Les STL '!$G$8:$G$232</definedName>
    <definedName name="Temps_Total">'Les STL '!$I$8:$I$232</definedName>
    <definedName name="Temps_total_d_impressions">stats!$B$2:$B$11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5" i="4" l="1"/>
  <c r="C25" i="4"/>
  <c r="G25" i="4"/>
  <c r="C3" i="4" a="1"/>
  <c r="C3" i="4" s="1"/>
  <c r="C17" i="4" s="1"/>
  <c r="C4" i="4" a="1"/>
  <c r="C4" i="4" s="1"/>
  <c r="C18" i="4" s="1"/>
  <c r="C5" i="4" a="1"/>
  <c r="C5" i="4" s="1"/>
  <c r="C19" i="4" s="1"/>
  <c r="C6" i="4" a="1"/>
  <c r="C6" i="4" s="1"/>
  <c r="C20" i="4" s="1"/>
  <c r="C7" i="4" a="1"/>
  <c r="C7" i="4" s="1"/>
  <c r="C21" i="4" s="1"/>
  <c r="C8" i="4" a="1"/>
  <c r="C8" i="4" s="1"/>
  <c r="C22" i="4" s="1"/>
  <c r="C9" i="4" a="1"/>
  <c r="C9" i="4" s="1"/>
  <c r="C23" i="4" s="1"/>
  <c r="C10" i="4" a="1"/>
  <c r="C10" i="4" s="1"/>
  <c r="C24" i="4" s="1"/>
  <c r="C2" i="4" a="1"/>
  <c r="C2" i="4" s="1"/>
  <c r="F16" i="4"/>
  <c r="E16" i="4"/>
  <c r="B16" i="4"/>
  <c r="B17" i="4"/>
  <c r="G16" i="4"/>
  <c r="F24" i="4"/>
  <c r="E24" i="4"/>
  <c r="D24" i="4" a="1"/>
  <c r="D24" i="4" s="1"/>
  <c r="B24" i="4"/>
  <c r="F23" i="4"/>
  <c r="E23" i="4"/>
  <c r="D23" i="4" a="1"/>
  <c r="D23" i="4" s="1"/>
  <c r="B23" i="4"/>
  <c r="F22" i="4"/>
  <c r="E22" i="4"/>
  <c r="D22" i="4" a="1"/>
  <c r="D22" i="4" s="1"/>
  <c r="B22" i="4"/>
  <c r="F21" i="4"/>
  <c r="E21" i="4"/>
  <c r="D21" i="4" a="1"/>
  <c r="D21" i="4" s="1"/>
  <c r="B21" i="4"/>
  <c r="F20" i="4"/>
  <c r="E20" i="4"/>
  <c r="D20" i="4" a="1"/>
  <c r="D20" i="4" s="1"/>
  <c r="B20" i="4"/>
  <c r="F19" i="4"/>
  <c r="E19" i="4"/>
  <c r="D19" i="4" a="1"/>
  <c r="D19" i="4" s="1"/>
  <c r="B19" i="4"/>
  <c r="F18" i="4"/>
  <c r="E18" i="4"/>
  <c r="D18" i="4" a="1"/>
  <c r="D18" i="4" s="1"/>
  <c r="B18" i="4"/>
  <c r="F17" i="4"/>
  <c r="E17" i="4"/>
  <c r="D17" i="4"/>
  <c r="I2" i="4"/>
  <c r="E25" i="4" l="1"/>
  <c r="F25" i="4"/>
  <c r="C16" i="4"/>
  <c r="B25" i="4"/>
  <c r="D25" i="4"/>
  <c r="G2" i="4"/>
  <c r="H2" i="4" s="1"/>
  <c r="H16" i="4" l="1"/>
  <c r="G17" i="4" s="1"/>
  <c r="H17" i="4" s="1"/>
  <c r="G18" i="4" s="1"/>
  <c r="H18" i="4" s="1"/>
  <c r="G19" i="4" s="1"/>
  <c r="D3" i="2" a="1"/>
  <c r="D3" i="2" s="1"/>
  <c r="J2" i="4"/>
  <c r="H19" i="4" l="1"/>
  <c r="G20" i="4" s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E2" i="4" a="1"/>
  <c r="E2" i="4" s="1"/>
  <c r="D3" i="4"/>
  <c r="I3" i="4" s="1"/>
  <c r="D4" i="4" a="1"/>
  <c r="D4" i="4" s="1"/>
  <c r="D5" i="4" a="1"/>
  <c r="D5" i="4" s="1"/>
  <c r="D6" i="4" a="1"/>
  <c r="D6" i="4" s="1"/>
  <c r="D7" i="4" a="1"/>
  <c r="D7" i="4" s="1"/>
  <c r="D8" i="4" a="1"/>
  <c r="D8" i="4" s="1"/>
  <c r="D9" i="4" a="1"/>
  <c r="D9" i="4" s="1"/>
  <c r="D10" i="4" a="1"/>
  <c r="D10" i="4" s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N73" i="1"/>
  <c r="J9" i="1"/>
  <c r="J10" i="1"/>
  <c r="J11" i="1"/>
  <c r="J12" i="1"/>
  <c r="J8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F2" i="4"/>
  <c r="F3" i="4"/>
  <c r="F4" i="4"/>
  <c r="F5" i="4"/>
  <c r="F6" i="4"/>
  <c r="F7" i="4"/>
  <c r="F8" i="4"/>
  <c r="F9" i="4"/>
  <c r="F10" i="4"/>
  <c r="E39" i="4"/>
  <c r="E3" i="4"/>
  <c r="E4" i="4"/>
  <c r="E5" i="4"/>
  <c r="E6" i="4"/>
  <c r="E7" i="4"/>
  <c r="E8" i="4"/>
  <c r="E9" i="4"/>
  <c r="E10" i="4"/>
  <c r="D39" i="4"/>
  <c r="G9" i="1"/>
  <c r="I9" i="1"/>
  <c r="G10" i="1"/>
  <c r="I10" i="1"/>
  <c r="G11" i="1"/>
  <c r="I11" i="1"/>
  <c r="G12" i="1"/>
  <c r="I12" i="1"/>
  <c r="G8" i="1"/>
  <c r="I8" i="1"/>
  <c r="G13" i="1"/>
  <c r="I13" i="1"/>
  <c r="G14" i="1"/>
  <c r="I14" i="1"/>
  <c r="G15" i="1"/>
  <c r="I15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G42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G109" i="1"/>
  <c r="I109" i="1"/>
  <c r="G110" i="1"/>
  <c r="I110" i="1"/>
  <c r="G111" i="1"/>
  <c r="I111" i="1"/>
  <c r="G112" i="1"/>
  <c r="I112" i="1"/>
  <c r="G113" i="1"/>
  <c r="I113" i="1"/>
  <c r="G114" i="1"/>
  <c r="I114" i="1"/>
  <c r="G115" i="1"/>
  <c r="I115" i="1"/>
  <c r="G116" i="1"/>
  <c r="I116" i="1"/>
  <c r="G117" i="1"/>
  <c r="I117" i="1"/>
  <c r="G118" i="1"/>
  <c r="I118" i="1"/>
  <c r="G119" i="1"/>
  <c r="I119" i="1"/>
  <c r="G120" i="1"/>
  <c r="I120" i="1"/>
  <c r="G121" i="1"/>
  <c r="I121" i="1"/>
  <c r="G122" i="1"/>
  <c r="I122" i="1"/>
  <c r="G123" i="1"/>
  <c r="I123" i="1"/>
  <c r="G124" i="1"/>
  <c r="I124" i="1"/>
  <c r="G125" i="1"/>
  <c r="I125" i="1"/>
  <c r="G126" i="1"/>
  <c r="I126" i="1"/>
  <c r="G127" i="1"/>
  <c r="I127" i="1"/>
  <c r="G128" i="1"/>
  <c r="I128" i="1"/>
  <c r="G129" i="1"/>
  <c r="I129" i="1"/>
  <c r="G130" i="1"/>
  <c r="I130" i="1"/>
  <c r="G131" i="1"/>
  <c r="I131" i="1"/>
  <c r="G132" i="1"/>
  <c r="I132" i="1"/>
  <c r="G133" i="1"/>
  <c r="I133" i="1"/>
  <c r="G134" i="1"/>
  <c r="I134" i="1"/>
  <c r="G135" i="1"/>
  <c r="I135" i="1"/>
  <c r="G136" i="1"/>
  <c r="I136" i="1"/>
  <c r="G137" i="1"/>
  <c r="I137" i="1"/>
  <c r="G138" i="1"/>
  <c r="I138" i="1"/>
  <c r="G139" i="1"/>
  <c r="I139" i="1"/>
  <c r="G140" i="1"/>
  <c r="I140" i="1"/>
  <c r="G141" i="1"/>
  <c r="I141" i="1"/>
  <c r="G142" i="1"/>
  <c r="I142" i="1"/>
  <c r="G143" i="1"/>
  <c r="I143" i="1"/>
  <c r="G144" i="1"/>
  <c r="I144" i="1"/>
  <c r="G145" i="1"/>
  <c r="I145" i="1"/>
  <c r="G146" i="1"/>
  <c r="I146" i="1"/>
  <c r="G147" i="1"/>
  <c r="I147" i="1"/>
  <c r="G148" i="1"/>
  <c r="I148" i="1"/>
  <c r="G149" i="1"/>
  <c r="I149" i="1"/>
  <c r="G150" i="1"/>
  <c r="I150" i="1"/>
  <c r="G151" i="1"/>
  <c r="I151" i="1"/>
  <c r="G152" i="1"/>
  <c r="I152" i="1"/>
  <c r="G153" i="1"/>
  <c r="I153" i="1"/>
  <c r="G154" i="1"/>
  <c r="I154" i="1"/>
  <c r="G155" i="1"/>
  <c r="I155" i="1"/>
  <c r="G156" i="1"/>
  <c r="I156" i="1"/>
  <c r="G157" i="1"/>
  <c r="I157" i="1"/>
  <c r="G158" i="1"/>
  <c r="I158" i="1"/>
  <c r="G159" i="1"/>
  <c r="I159" i="1"/>
  <c r="G160" i="1"/>
  <c r="I160" i="1"/>
  <c r="G161" i="1"/>
  <c r="I161" i="1"/>
  <c r="G162" i="1"/>
  <c r="I162" i="1"/>
  <c r="G163" i="1"/>
  <c r="I163" i="1"/>
  <c r="G164" i="1"/>
  <c r="I164" i="1"/>
  <c r="G165" i="1"/>
  <c r="I165" i="1"/>
  <c r="G166" i="1"/>
  <c r="I166" i="1"/>
  <c r="G167" i="1"/>
  <c r="I167" i="1"/>
  <c r="G168" i="1"/>
  <c r="I168" i="1"/>
  <c r="G169" i="1"/>
  <c r="I169" i="1"/>
  <c r="I170" i="1"/>
  <c r="I171" i="1"/>
  <c r="G172" i="1"/>
  <c r="I172" i="1"/>
  <c r="G173" i="1"/>
  <c r="I173" i="1"/>
  <c r="G174" i="1"/>
  <c r="I174" i="1"/>
  <c r="G175" i="1"/>
  <c r="I175" i="1"/>
  <c r="G176" i="1"/>
  <c r="I176" i="1"/>
  <c r="G177" i="1"/>
  <c r="I177" i="1"/>
  <c r="G178" i="1"/>
  <c r="I178" i="1"/>
  <c r="G179" i="1"/>
  <c r="I179" i="1"/>
  <c r="G180" i="1"/>
  <c r="I180" i="1"/>
  <c r="G181" i="1"/>
  <c r="I181" i="1"/>
  <c r="G182" i="1"/>
  <c r="I182" i="1"/>
  <c r="G183" i="1"/>
  <c r="I183" i="1"/>
  <c r="G184" i="1"/>
  <c r="I184" i="1"/>
  <c r="G185" i="1"/>
  <c r="I185" i="1"/>
  <c r="G186" i="1"/>
  <c r="I186" i="1"/>
  <c r="G187" i="1"/>
  <c r="I187" i="1"/>
  <c r="G188" i="1"/>
  <c r="I188" i="1"/>
  <c r="G189" i="1"/>
  <c r="I189" i="1"/>
  <c r="G190" i="1"/>
  <c r="I190" i="1"/>
  <c r="G191" i="1"/>
  <c r="I191" i="1"/>
  <c r="G192" i="1"/>
  <c r="I192" i="1"/>
  <c r="G193" i="1"/>
  <c r="I193" i="1"/>
  <c r="G194" i="1"/>
  <c r="I194" i="1"/>
  <c r="G195" i="1"/>
  <c r="I195" i="1"/>
  <c r="G196" i="1"/>
  <c r="I196" i="1"/>
  <c r="G197" i="1"/>
  <c r="I197" i="1"/>
  <c r="G198" i="1"/>
  <c r="I198" i="1"/>
  <c r="G199" i="1"/>
  <c r="I199" i="1"/>
  <c r="G200" i="1"/>
  <c r="I200" i="1"/>
  <c r="G201" i="1"/>
  <c r="I201" i="1"/>
  <c r="G202" i="1"/>
  <c r="I202" i="1"/>
  <c r="G203" i="1"/>
  <c r="I203" i="1"/>
  <c r="G204" i="1"/>
  <c r="I204" i="1"/>
  <c r="G205" i="1"/>
  <c r="I205" i="1"/>
  <c r="G206" i="1"/>
  <c r="I206" i="1"/>
  <c r="G207" i="1"/>
  <c r="I207" i="1"/>
  <c r="G208" i="1"/>
  <c r="I208" i="1"/>
  <c r="G209" i="1"/>
  <c r="I209" i="1"/>
  <c r="G210" i="1"/>
  <c r="I210" i="1"/>
  <c r="G211" i="1"/>
  <c r="I211" i="1"/>
  <c r="G212" i="1"/>
  <c r="I212" i="1"/>
  <c r="G213" i="1"/>
  <c r="I213" i="1"/>
  <c r="G214" i="1"/>
  <c r="I214" i="1"/>
  <c r="G215" i="1"/>
  <c r="I215" i="1"/>
  <c r="G216" i="1"/>
  <c r="I216" i="1"/>
  <c r="G217" i="1"/>
  <c r="I217" i="1"/>
  <c r="G218" i="1"/>
  <c r="I218" i="1"/>
  <c r="G219" i="1"/>
  <c r="I219" i="1"/>
  <c r="G220" i="1"/>
  <c r="I220" i="1"/>
  <c r="G221" i="1"/>
  <c r="I221" i="1"/>
  <c r="G222" i="1"/>
  <c r="I222" i="1"/>
  <c r="G223" i="1"/>
  <c r="I223" i="1"/>
  <c r="G224" i="1"/>
  <c r="I224" i="1"/>
  <c r="G225" i="1"/>
  <c r="I225" i="1"/>
  <c r="G226" i="1"/>
  <c r="I226" i="1"/>
  <c r="G227" i="1"/>
  <c r="I227" i="1"/>
  <c r="G228" i="1"/>
  <c r="I228" i="1"/>
  <c r="G229" i="1"/>
  <c r="I229" i="1"/>
  <c r="G230" i="1"/>
  <c r="I230" i="1"/>
  <c r="G231" i="1"/>
  <c r="I231" i="1"/>
  <c r="G232" i="1"/>
  <c r="I232" i="1"/>
  <c r="B2" i="4"/>
  <c r="C39" i="4" a="1"/>
  <c r="C39" i="4" s="1"/>
  <c r="B9" i="4"/>
  <c r="B10" i="4"/>
  <c r="B3" i="4"/>
  <c r="B4" i="4"/>
  <c r="B5" i="4"/>
  <c r="B6" i="4"/>
  <c r="B7" i="4"/>
  <c r="B8" i="4"/>
  <c r="B39" i="4"/>
  <c r="B40" i="4" a="1"/>
  <c r="B40" i="4" s="1"/>
  <c r="B41" i="4" a="1"/>
  <c r="B41" i="4" s="1"/>
  <c r="B42" i="4" a="1"/>
  <c r="B42" i="4" s="1"/>
  <c r="B43" i="4" a="1"/>
  <c r="B43" i="4" s="1"/>
  <c r="B44" i="4" a="1"/>
  <c r="B44" i="4" s="1"/>
  <c r="B45" i="4" a="1"/>
  <c r="B45" i="4" s="1"/>
  <c r="B46" i="4" a="1"/>
  <c r="B46" i="4" s="1"/>
  <c r="B47" i="4" a="1"/>
  <c r="B47" i="4" s="1"/>
  <c r="B48" i="4" a="1"/>
  <c r="B48" i="4" s="1"/>
  <c r="B49" i="4" a="1"/>
  <c r="B49" i="4" s="1"/>
  <c r="B50" i="4" a="1"/>
  <c r="B50" i="4" s="1"/>
  <c r="B51" i="4" a="1"/>
  <c r="B51" i="4" s="1"/>
  <c r="B52" i="4" a="1"/>
  <c r="B52" i="4" s="1"/>
  <c r="C40" i="4" a="1"/>
  <c r="C40" i="4" s="1"/>
  <c r="C41" i="4" a="1"/>
  <c r="C41" i="4" s="1"/>
  <c r="C42" i="4" a="1"/>
  <c r="C42" i="4" s="1"/>
  <c r="C43" i="4" a="1"/>
  <c r="C43" i="4" s="1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 s="1"/>
  <c r="C52" i="4" a="1"/>
  <c r="C52" i="4" s="1"/>
  <c r="D49" i="4"/>
  <c r="D50" i="4"/>
  <c r="D51" i="4"/>
  <c r="D52" i="4"/>
  <c r="E49" i="4"/>
  <c r="E50" i="4"/>
  <c r="E51" i="4"/>
  <c r="E52" i="4"/>
  <c r="D46" i="4"/>
  <c r="D47" i="4"/>
  <c r="E46" i="4"/>
  <c r="E47" i="4"/>
  <c r="D44" i="4"/>
  <c r="D45" i="4"/>
  <c r="E44" i="4"/>
  <c r="E45" i="4"/>
  <c r="E42" i="4"/>
  <c r="E43" i="4"/>
  <c r="E40" i="4"/>
  <c r="E41" i="4"/>
  <c r="E48" i="4"/>
  <c r="D48" i="4"/>
  <c r="D40" i="4"/>
  <c r="D41" i="4"/>
  <c r="D42" i="4"/>
  <c r="D43" i="4"/>
  <c r="C53" i="4"/>
  <c r="C3" i="2" a="1"/>
  <c r="C5" i="2"/>
  <c r="C36" i="2"/>
  <c r="C44" i="2"/>
  <c r="C52" i="2"/>
  <c r="C60" i="2"/>
  <c r="C68" i="2"/>
  <c r="C76" i="2"/>
  <c r="C84" i="2"/>
  <c r="C92" i="2"/>
  <c r="C100" i="2"/>
  <c r="C108" i="2"/>
  <c r="M2" i="1"/>
  <c r="C105" i="2"/>
  <c r="C97" i="2"/>
  <c r="C89" i="2"/>
  <c r="C81" i="2"/>
  <c r="C73" i="2"/>
  <c r="C65" i="2"/>
  <c r="C57" i="2"/>
  <c r="C49" i="2"/>
  <c r="C41" i="2"/>
  <c r="C33" i="2"/>
  <c r="C25" i="2"/>
  <c r="C17" i="2"/>
  <c r="C9" i="2"/>
  <c r="C28" i="2"/>
  <c r="C20" i="2"/>
  <c r="C12" i="2"/>
  <c r="C4" i="2"/>
  <c r="C107" i="2"/>
  <c r="C99" i="2"/>
  <c r="C91" i="2"/>
  <c r="C83" i="2"/>
  <c r="C75" i="2"/>
  <c r="C67" i="2"/>
  <c r="C59" i="2"/>
  <c r="C51" i="2"/>
  <c r="C43" i="2"/>
  <c r="C35" i="2"/>
  <c r="C27" i="2"/>
  <c r="C19" i="2"/>
  <c r="C11" i="2"/>
  <c r="C3" i="2"/>
  <c r="C106" i="2"/>
  <c r="C98" i="2"/>
  <c r="C90" i="2"/>
  <c r="C82" i="2"/>
  <c r="C74" i="2"/>
  <c r="C66" i="2"/>
  <c r="C58" i="2"/>
  <c r="C50" i="2"/>
  <c r="C42" i="2"/>
  <c r="C34" i="2"/>
  <c r="C26" i="2"/>
  <c r="C18" i="2"/>
  <c r="C10" i="2"/>
  <c r="C104" i="2"/>
  <c r="C96" i="2"/>
  <c r="C88" i="2"/>
  <c r="C80" i="2"/>
  <c r="C72" i="2"/>
  <c r="C64" i="2"/>
  <c r="C56" i="2"/>
  <c r="C48" i="2"/>
  <c r="C40" i="2"/>
  <c r="C32" i="2"/>
  <c r="C24" i="2"/>
  <c r="C16" i="2"/>
  <c r="C8" i="2"/>
  <c r="C103" i="2"/>
  <c r="C95" i="2"/>
  <c r="C87" i="2"/>
  <c r="C79" i="2"/>
  <c r="C71" i="2"/>
  <c r="C63" i="2"/>
  <c r="C55" i="2"/>
  <c r="C47" i="2"/>
  <c r="C39" i="2"/>
  <c r="C31" i="2"/>
  <c r="C23" i="2"/>
  <c r="C15" i="2"/>
  <c r="C7" i="2"/>
  <c r="C110" i="2"/>
  <c r="C102" i="2"/>
  <c r="C94" i="2"/>
  <c r="C86" i="2"/>
  <c r="C78" i="2"/>
  <c r="C70" i="2"/>
  <c r="C62" i="2"/>
  <c r="C54" i="2"/>
  <c r="C46" i="2"/>
  <c r="C38" i="2"/>
  <c r="C30" i="2"/>
  <c r="C22" i="2"/>
  <c r="C14" i="2"/>
  <c r="C6" i="2"/>
  <c r="C109" i="2"/>
  <c r="C101" i="2"/>
  <c r="C93" i="2"/>
  <c r="C85" i="2"/>
  <c r="C77" i="2"/>
  <c r="C69" i="2"/>
  <c r="C61" i="2"/>
  <c r="C53" i="2"/>
  <c r="C45" i="2"/>
  <c r="C37" i="2"/>
  <c r="C29" i="2"/>
  <c r="C21" i="2"/>
  <c r="C13" i="2"/>
  <c r="E102" i="2" a="1"/>
  <c r="E102" i="2" s="1"/>
  <c r="R4" i="2" a="1"/>
  <c r="R4" i="2"/>
  <c r="S4" i="2" a="1"/>
  <c r="S4" i="2" s="1"/>
  <c r="T4" i="2" a="1"/>
  <c r="T4" i="2" s="1"/>
  <c r="U4" i="2" a="1"/>
  <c r="U4" i="2" s="1"/>
  <c r="V4" i="2" a="1"/>
  <c r="V4" i="2" s="1"/>
  <c r="W4" i="2" a="1"/>
  <c r="W4" i="2" s="1"/>
  <c r="X4" i="2" a="1"/>
  <c r="X4" i="2" s="1"/>
  <c r="R5" i="2" a="1"/>
  <c r="R5" i="2"/>
  <c r="S5" i="2" a="1"/>
  <c r="S5" i="2" s="1"/>
  <c r="T5" i="2" a="1"/>
  <c r="T5" i="2" s="1"/>
  <c r="U5" i="2" a="1"/>
  <c r="U5" i="2" s="1"/>
  <c r="V5" i="2" a="1"/>
  <c r="V5" i="2" s="1"/>
  <c r="W5" i="2" a="1"/>
  <c r="W5" i="2" s="1"/>
  <c r="X5" i="2" a="1"/>
  <c r="X5" i="2" s="1"/>
  <c r="R6" i="2" a="1"/>
  <c r="R6" i="2"/>
  <c r="S6" i="2" a="1"/>
  <c r="S6" i="2" s="1"/>
  <c r="T6" i="2" a="1"/>
  <c r="T6" i="2" s="1"/>
  <c r="U6" i="2" a="1"/>
  <c r="U6" i="2" s="1"/>
  <c r="V6" i="2" a="1"/>
  <c r="V6" i="2" s="1"/>
  <c r="W6" i="2" a="1"/>
  <c r="W6" i="2" s="1"/>
  <c r="X6" i="2" a="1"/>
  <c r="X6" i="2" s="1"/>
  <c r="R7" i="2" a="1"/>
  <c r="R7" i="2"/>
  <c r="S7" i="2" a="1"/>
  <c r="S7" i="2" s="1"/>
  <c r="T7" i="2" a="1"/>
  <c r="T7" i="2" s="1"/>
  <c r="U7" i="2" a="1"/>
  <c r="U7" i="2" s="1"/>
  <c r="V7" i="2" a="1"/>
  <c r="V7" i="2" s="1"/>
  <c r="W7" i="2" a="1"/>
  <c r="W7" i="2" s="1"/>
  <c r="X7" i="2" a="1"/>
  <c r="X7" i="2" s="1"/>
  <c r="R8" i="2" a="1"/>
  <c r="R8" i="2"/>
  <c r="S8" i="2" a="1"/>
  <c r="S8" i="2" s="1"/>
  <c r="T8" i="2" a="1"/>
  <c r="T8" i="2" s="1"/>
  <c r="U8" i="2" a="1"/>
  <c r="U8" i="2" s="1"/>
  <c r="V8" i="2" a="1"/>
  <c r="V8" i="2" s="1"/>
  <c r="W8" i="2" a="1"/>
  <c r="W8" i="2" s="1"/>
  <c r="X8" i="2" a="1"/>
  <c r="X8" i="2" s="1"/>
  <c r="R9" i="2" a="1"/>
  <c r="R9" i="2"/>
  <c r="S9" i="2" a="1"/>
  <c r="S9" i="2" s="1"/>
  <c r="T9" i="2" a="1"/>
  <c r="T9" i="2" s="1"/>
  <c r="U9" i="2" a="1"/>
  <c r="U9" i="2" s="1"/>
  <c r="V9" i="2" a="1"/>
  <c r="V9" i="2" s="1"/>
  <c r="W9" i="2" a="1"/>
  <c r="W9" i="2" s="1"/>
  <c r="X9" i="2" a="1"/>
  <c r="X9" i="2" s="1"/>
  <c r="R10" i="2" a="1"/>
  <c r="R10" i="2"/>
  <c r="S10" i="2" a="1"/>
  <c r="S10" i="2" s="1"/>
  <c r="T10" i="2" a="1"/>
  <c r="T10" i="2" s="1"/>
  <c r="U10" i="2" a="1"/>
  <c r="U10" i="2" s="1"/>
  <c r="V10" i="2" a="1"/>
  <c r="V10" i="2" s="1"/>
  <c r="W10" i="2" a="1"/>
  <c r="W10" i="2" s="1"/>
  <c r="X10" i="2" a="1"/>
  <c r="X10" i="2" s="1"/>
  <c r="R11" i="2" a="1"/>
  <c r="R11" i="2"/>
  <c r="S11" i="2" a="1"/>
  <c r="S11" i="2" s="1"/>
  <c r="T11" i="2" a="1"/>
  <c r="T11" i="2" s="1"/>
  <c r="U11" i="2" a="1"/>
  <c r="U11" i="2" s="1"/>
  <c r="V11" i="2" a="1"/>
  <c r="V11" i="2" s="1"/>
  <c r="W11" i="2" a="1"/>
  <c r="W11" i="2" s="1"/>
  <c r="X11" i="2" a="1"/>
  <c r="X11" i="2" s="1"/>
  <c r="R12" i="2" a="1"/>
  <c r="R12" i="2"/>
  <c r="S12" i="2" a="1"/>
  <c r="S12" i="2" s="1"/>
  <c r="T12" i="2" a="1"/>
  <c r="T12" i="2" s="1"/>
  <c r="U12" i="2" a="1"/>
  <c r="U12" i="2" s="1"/>
  <c r="V12" i="2" a="1"/>
  <c r="V12" i="2" s="1"/>
  <c r="W12" i="2" a="1"/>
  <c r="W12" i="2" s="1"/>
  <c r="X12" i="2" a="1"/>
  <c r="X12" i="2" s="1"/>
  <c r="R13" i="2" a="1"/>
  <c r="R13" i="2"/>
  <c r="S13" i="2" a="1"/>
  <c r="S13" i="2" s="1"/>
  <c r="T13" i="2" a="1"/>
  <c r="T13" i="2" s="1"/>
  <c r="U13" i="2" a="1"/>
  <c r="U13" i="2" s="1"/>
  <c r="V13" i="2" a="1"/>
  <c r="V13" i="2" s="1"/>
  <c r="W13" i="2" a="1"/>
  <c r="W13" i="2" s="1"/>
  <c r="X13" i="2" a="1"/>
  <c r="X13" i="2" s="1"/>
  <c r="R14" i="2" a="1"/>
  <c r="R14" i="2"/>
  <c r="S14" i="2" a="1"/>
  <c r="S14" i="2" s="1"/>
  <c r="T14" i="2" a="1"/>
  <c r="T14" i="2" s="1"/>
  <c r="U14" i="2" a="1"/>
  <c r="U14" i="2" s="1"/>
  <c r="V14" i="2" a="1"/>
  <c r="V14" i="2" s="1"/>
  <c r="W14" i="2" a="1"/>
  <c r="W14" i="2" s="1"/>
  <c r="X14" i="2" a="1"/>
  <c r="X14" i="2" s="1"/>
  <c r="R15" i="2" a="1"/>
  <c r="R15" i="2"/>
  <c r="S15" i="2" a="1"/>
  <c r="S15" i="2" s="1"/>
  <c r="T15" i="2" a="1"/>
  <c r="T15" i="2" s="1"/>
  <c r="U15" i="2" a="1"/>
  <c r="U15" i="2" s="1"/>
  <c r="V15" i="2" a="1"/>
  <c r="V15" i="2" s="1"/>
  <c r="W15" i="2" a="1"/>
  <c r="W15" i="2" s="1"/>
  <c r="X15" i="2" a="1"/>
  <c r="X15" i="2" s="1"/>
  <c r="R16" i="2" a="1"/>
  <c r="R16" i="2"/>
  <c r="S16" i="2" a="1"/>
  <c r="S16" i="2" s="1"/>
  <c r="T16" i="2" a="1"/>
  <c r="T16" i="2" s="1"/>
  <c r="U16" i="2" a="1"/>
  <c r="U16" i="2" s="1"/>
  <c r="V16" i="2" a="1"/>
  <c r="V16" i="2" s="1"/>
  <c r="W16" i="2" a="1"/>
  <c r="W16" i="2" s="1"/>
  <c r="X16" i="2" a="1"/>
  <c r="X16" i="2" s="1"/>
  <c r="R17" i="2" a="1"/>
  <c r="R17" i="2"/>
  <c r="S17" i="2" a="1"/>
  <c r="S17" i="2" s="1"/>
  <c r="T17" i="2" a="1"/>
  <c r="T17" i="2" s="1"/>
  <c r="U17" i="2" a="1"/>
  <c r="U17" i="2" s="1"/>
  <c r="V17" i="2" a="1"/>
  <c r="V17" i="2" s="1"/>
  <c r="W17" i="2" a="1"/>
  <c r="W17" i="2" s="1"/>
  <c r="X17" i="2" a="1"/>
  <c r="X17" i="2" s="1"/>
  <c r="R18" i="2" a="1"/>
  <c r="R18" i="2"/>
  <c r="S18" i="2" a="1"/>
  <c r="S18" i="2" s="1"/>
  <c r="T18" i="2" a="1"/>
  <c r="T18" i="2" s="1"/>
  <c r="U18" i="2" a="1"/>
  <c r="U18" i="2" s="1"/>
  <c r="V18" i="2" a="1"/>
  <c r="V18" i="2" s="1"/>
  <c r="W18" i="2" a="1"/>
  <c r="W18" i="2" s="1"/>
  <c r="X18" i="2" a="1"/>
  <c r="X18" i="2" s="1"/>
  <c r="R19" i="2" a="1"/>
  <c r="R19" i="2"/>
  <c r="S19" i="2" a="1"/>
  <c r="S19" i="2" s="1"/>
  <c r="T19" i="2" a="1"/>
  <c r="T19" i="2" s="1"/>
  <c r="U19" i="2" a="1"/>
  <c r="U19" i="2" s="1"/>
  <c r="V19" i="2" a="1"/>
  <c r="V19" i="2" s="1"/>
  <c r="W19" i="2" a="1"/>
  <c r="W19" i="2" s="1"/>
  <c r="X19" i="2" a="1"/>
  <c r="X19" i="2" s="1"/>
  <c r="R20" i="2" a="1"/>
  <c r="R20" i="2"/>
  <c r="S20" i="2" a="1"/>
  <c r="S20" i="2" s="1"/>
  <c r="T20" i="2" a="1"/>
  <c r="T20" i="2" s="1"/>
  <c r="U20" i="2" a="1"/>
  <c r="U20" i="2" s="1"/>
  <c r="V20" i="2" a="1"/>
  <c r="V20" i="2" s="1"/>
  <c r="W20" i="2" a="1"/>
  <c r="W20" i="2" s="1"/>
  <c r="X20" i="2" a="1"/>
  <c r="X20" i="2" s="1"/>
  <c r="R21" i="2" a="1"/>
  <c r="R21" i="2"/>
  <c r="S21" i="2" a="1"/>
  <c r="S21" i="2" s="1"/>
  <c r="T21" i="2" a="1"/>
  <c r="T21" i="2" s="1"/>
  <c r="U21" i="2" a="1"/>
  <c r="U21" i="2" s="1"/>
  <c r="V21" i="2" a="1"/>
  <c r="V21" i="2" s="1"/>
  <c r="W21" i="2" a="1"/>
  <c r="W21" i="2" s="1"/>
  <c r="X21" i="2" a="1"/>
  <c r="X21" i="2" s="1"/>
  <c r="R22" i="2" a="1"/>
  <c r="R22" i="2"/>
  <c r="S22" i="2" a="1"/>
  <c r="S22" i="2" s="1"/>
  <c r="T22" i="2" a="1"/>
  <c r="T22" i="2" s="1"/>
  <c r="U22" i="2" a="1"/>
  <c r="U22" i="2" s="1"/>
  <c r="V22" i="2" a="1"/>
  <c r="V22" i="2" s="1"/>
  <c r="W22" i="2" a="1"/>
  <c r="W22" i="2" s="1"/>
  <c r="X22" i="2" a="1"/>
  <c r="X22" i="2" s="1"/>
  <c r="R23" i="2" a="1"/>
  <c r="R23" i="2"/>
  <c r="S23" i="2" a="1"/>
  <c r="S23" i="2" s="1"/>
  <c r="T23" i="2" a="1"/>
  <c r="T23" i="2" s="1"/>
  <c r="U23" i="2" a="1"/>
  <c r="U23" i="2" s="1"/>
  <c r="V23" i="2" a="1"/>
  <c r="V23" i="2" s="1"/>
  <c r="W23" i="2" a="1"/>
  <c r="W23" i="2" s="1"/>
  <c r="X23" i="2" a="1"/>
  <c r="X23" i="2" s="1"/>
  <c r="R24" i="2" a="1"/>
  <c r="R24" i="2"/>
  <c r="S24" i="2" a="1"/>
  <c r="S24" i="2" s="1"/>
  <c r="T24" i="2" a="1"/>
  <c r="T24" i="2" s="1"/>
  <c r="U24" i="2" a="1"/>
  <c r="U24" i="2" s="1"/>
  <c r="V24" i="2" a="1"/>
  <c r="V24" i="2" s="1"/>
  <c r="W24" i="2" a="1"/>
  <c r="W24" i="2" s="1"/>
  <c r="X24" i="2" a="1"/>
  <c r="X24" i="2" s="1"/>
  <c r="R25" i="2" a="1"/>
  <c r="R25" i="2"/>
  <c r="S25" i="2" a="1"/>
  <c r="S25" i="2" s="1"/>
  <c r="T25" i="2" a="1"/>
  <c r="T25" i="2" s="1"/>
  <c r="U25" i="2" a="1"/>
  <c r="U25" i="2" s="1"/>
  <c r="V25" i="2" a="1"/>
  <c r="V25" i="2" s="1"/>
  <c r="W25" i="2" a="1"/>
  <c r="W25" i="2" s="1"/>
  <c r="X25" i="2" a="1"/>
  <c r="X25" i="2" s="1"/>
  <c r="R26" i="2" a="1"/>
  <c r="R26" i="2"/>
  <c r="S26" i="2" a="1"/>
  <c r="S26" i="2" s="1"/>
  <c r="T26" i="2" a="1"/>
  <c r="T26" i="2" s="1"/>
  <c r="U26" i="2" a="1"/>
  <c r="U26" i="2" s="1"/>
  <c r="V26" i="2" a="1"/>
  <c r="V26" i="2" s="1"/>
  <c r="W26" i="2" a="1"/>
  <c r="W26" i="2" s="1"/>
  <c r="X26" i="2" a="1"/>
  <c r="X26" i="2" s="1"/>
  <c r="R27" i="2" a="1"/>
  <c r="R27" i="2"/>
  <c r="S27" i="2" a="1"/>
  <c r="S27" i="2" s="1"/>
  <c r="T27" i="2" a="1"/>
  <c r="T27" i="2" s="1"/>
  <c r="U27" i="2" a="1"/>
  <c r="U27" i="2" s="1"/>
  <c r="V27" i="2" a="1"/>
  <c r="V27" i="2" s="1"/>
  <c r="W27" i="2" a="1"/>
  <c r="W27" i="2" s="1"/>
  <c r="X27" i="2" a="1"/>
  <c r="X27" i="2" s="1"/>
  <c r="R28" i="2" a="1"/>
  <c r="R28" i="2"/>
  <c r="S28" i="2" a="1"/>
  <c r="S28" i="2" s="1"/>
  <c r="T28" i="2" a="1"/>
  <c r="T28" i="2" s="1"/>
  <c r="U28" i="2" a="1"/>
  <c r="U28" i="2" s="1"/>
  <c r="V28" i="2" a="1"/>
  <c r="V28" i="2" s="1"/>
  <c r="W28" i="2" a="1"/>
  <c r="W28" i="2" s="1"/>
  <c r="X28" i="2" a="1"/>
  <c r="X28" i="2" s="1"/>
  <c r="R29" i="2" a="1"/>
  <c r="R29" i="2"/>
  <c r="S29" i="2" a="1"/>
  <c r="S29" i="2" s="1"/>
  <c r="T29" i="2" a="1"/>
  <c r="T29" i="2" s="1"/>
  <c r="U29" i="2" a="1"/>
  <c r="U29" i="2" s="1"/>
  <c r="V29" i="2" a="1"/>
  <c r="V29" i="2" s="1"/>
  <c r="W29" i="2" a="1"/>
  <c r="W29" i="2" s="1"/>
  <c r="X29" i="2" a="1"/>
  <c r="X29" i="2" s="1"/>
  <c r="R30" i="2" a="1"/>
  <c r="R30" i="2"/>
  <c r="S30" i="2" a="1"/>
  <c r="S30" i="2" s="1"/>
  <c r="T30" i="2" a="1"/>
  <c r="T30" i="2" s="1"/>
  <c r="U30" i="2" a="1"/>
  <c r="U30" i="2" s="1"/>
  <c r="V30" i="2" a="1"/>
  <c r="V30" i="2" s="1"/>
  <c r="W30" i="2" a="1"/>
  <c r="W30" i="2" s="1"/>
  <c r="X30" i="2" a="1"/>
  <c r="X30" i="2" s="1"/>
  <c r="R31" i="2" a="1"/>
  <c r="R31" i="2"/>
  <c r="S31" i="2" a="1"/>
  <c r="S31" i="2" s="1"/>
  <c r="T31" i="2" a="1"/>
  <c r="T31" i="2" s="1"/>
  <c r="U31" i="2" a="1"/>
  <c r="U31" i="2" s="1"/>
  <c r="V31" i="2" a="1"/>
  <c r="V31" i="2" s="1"/>
  <c r="W31" i="2" a="1"/>
  <c r="W31" i="2" s="1"/>
  <c r="X31" i="2" a="1"/>
  <c r="X31" i="2" s="1"/>
  <c r="R32" i="2" a="1"/>
  <c r="R32" i="2"/>
  <c r="S32" i="2" a="1"/>
  <c r="S32" i="2" s="1"/>
  <c r="T32" i="2" a="1"/>
  <c r="T32" i="2" s="1"/>
  <c r="U32" i="2" a="1"/>
  <c r="U32" i="2" s="1"/>
  <c r="V32" i="2" a="1"/>
  <c r="V32" i="2" s="1"/>
  <c r="W32" i="2" a="1"/>
  <c r="W32" i="2" s="1"/>
  <c r="X32" i="2" a="1"/>
  <c r="X32" i="2" s="1"/>
  <c r="R33" i="2" a="1"/>
  <c r="R33" i="2"/>
  <c r="S33" i="2" a="1"/>
  <c r="S33" i="2" s="1"/>
  <c r="T33" i="2" a="1"/>
  <c r="T33" i="2" s="1"/>
  <c r="U33" i="2" a="1"/>
  <c r="U33" i="2" s="1"/>
  <c r="V33" i="2" a="1"/>
  <c r="V33" i="2" s="1"/>
  <c r="W33" i="2" a="1"/>
  <c r="W33" i="2" s="1"/>
  <c r="X33" i="2" a="1"/>
  <c r="X33" i="2" s="1"/>
  <c r="R34" i="2" a="1"/>
  <c r="R34" i="2"/>
  <c r="S34" i="2" a="1"/>
  <c r="S34" i="2" s="1"/>
  <c r="T34" i="2" a="1"/>
  <c r="T34" i="2" s="1"/>
  <c r="U34" i="2" a="1"/>
  <c r="U34" i="2" s="1"/>
  <c r="V34" i="2" a="1"/>
  <c r="V34" i="2" s="1"/>
  <c r="W34" i="2" a="1"/>
  <c r="W34" i="2" s="1"/>
  <c r="X34" i="2" a="1"/>
  <c r="X34" i="2" s="1"/>
  <c r="R35" i="2" a="1"/>
  <c r="R35" i="2"/>
  <c r="S35" i="2" a="1"/>
  <c r="S35" i="2" s="1"/>
  <c r="T35" i="2" a="1"/>
  <c r="T35" i="2" s="1"/>
  <c r="U35" i="2" a="1"/>
  <c r="U35" i="2" s="1"/>
  <c r="V35" i="2" a="1"/>
  <c r="V35" i="2" s="1"/>
  <c r="W35" i="2" a="1"/>
  <c r="W35" i="2" s="1"/>
  <c r="X35" i="2" a="1"/>
  <c r="X35" i="2" s="1"/>
  <c r="R36" i="2" a="1"/>
  <c r="R36" i="2"/>
  <c r="S36" i="2" a="1"/>
  <c r="S36" i="2" s="1"/>
  <c r="T36" i="2" a="1"/>
  <c r="T36" i="2" s="1"/>
  <c r="U36" i="2" a="1"/>
  <c r="U36" i="2" s="1"/>
  <c r="V36" i="2" a="1"/>
  <c r="V36" i="2" s="1"/>
  <c r="W36" i="2" a="1"/>
  <c r="W36" i="2" s="1"/>
  <c r="X36" i="2" a="1"/>
  <c r="X36" i="2" s="1"/>
  <c r="R37" i="2" a="1"/>
  <c r="R37" i="2"/>
  <c r="S37" i="2" a="1"/>
  <c r="S37" i="2" s="1"/>
  <c r="T37" i="2" a="1"/>
  <c r="T37" i="2" s="1"/>
  <c r="U37" i="2" a="1"/>
  <c r="U37" i="2" s="1"/>
  <c r="V37" i="2" a="1"/>
  <c r="V37" i="2" s="1"/>
  <c r="W37" i="2" a="1"/>
  <c r="W37" i="2" s="1"/>
  <c r="X37" i="2" a="1"/>
  <c r="X37" i="2" s="1"/>
  <c r="R38" i="2" a="1"/>
  <c r="R38" i="2"/>
  <c r="S38" i="2" a="1"/>
  <c r="S38" i="2" s="1"/>
  <c r="T38" i="2" a="1"/>
  <c r="T38" i="2" s="1"/>
  <c r="U38" i="2" a="1"/>
  <c r="U38" i="2" s="1"/>
  <c r="V38" i="2" a="1"/>
  <c r="V38" i="2" s="1"/>
  <c r="W38" i="2" a="1"/>
  <c r="W38" i="2" s="1"/>
  <c r="X38" i="2" a="1"/>
  <c r="X38" i="2" s="1"/>
  <c r="R39" i="2" a="1"/>
  <c r="R39" i="2"/>
  <c r="S39" i="2" a="1"/>
  <c r="S39" i="2" s="1"/>
  <c r="T39" i="2" a="1"/>
  <c r="T39" i="2" s="1"/>
  <c r="U39" i="2" a="1"/>
  <c r="U39" i="2" s="1"/>
  <c r="V39" i="2" a="1"/>
  <c r="V39" i="2" s="1"/>
  <c r="W39" i="2" a="1"/>
  <c r="W39" i="2" s="1"/>
  <c r="X39" i="2" a="1"/>
  <c r="X39" i="2" s="1"/>
  <c r="R40" i="2" a="1"/>
  <c r="R40" i="2"/>
  <c r="S40" i="2" a="1"/>
  <c r="S40" i="2" s="1"/>
  <c r="T40" i="2" a="1"/>
  <c r="T40" i="2" s="1"/>
  <c r="U40" i="2" a="1"/>
  <c r="U40" i="2" s="1"/>
  <c r="V40" i="2" a="1"/>
  <c r="V40" i="2" s="1"/>
  <c r="W40" i="2" a="1"/>
  <c r="W40" i="2" s="1"/>
  <c r="X40" i="2" a="1"/>
  <c r="X40" i="2" s="1"/>
  <c r="R41" i="2" a="1"/>
  <c r="R41" i="2"/>
  <c r="S41" i="2" a="1"/>
  <c r="S41" i="2" s="1"/>
  <c r="T41" i="2" a="1"/>
  <c r="T41" i="2" s="1"/>
  <c r="U41" i="2" a="1"/>
  <c r="U41" i="2" s="1"/>
  <c r="V41" i="2" a="1"/>
  <c r="V41" i="2" s="1"/>
  <c r="W41" i="2" a="1"/>
  <c r="W41" i="2" s="1"/>
  <c r="X41" i="2" a="1"/>
  <c r="X41" i="2" s="1"/>
  <c r="R42" i="2" a="1"/>
  <c r="R42" i="2"/>
  <c r="S42" i="2" a="1"/>
  <c r="S42" i="2" s="1"/>
  <c r="T42" i="2" a="1"/>
  <c r="T42" i="2" s="1"/>
  <c r="U42" i="2" a="1"/>
  <c r="U42" i="2" s="1"/>
  <c r="V42" i="2" a="1"/>
  <c r="V42" i="2" s="1"/>
  <c r="W42" i="2" a="1"/>
  <c r="W42" i="2" s="1"/>
  <c r="X42" i="2" a="1"/>
  <c r="X42" i="2" s="1"/>
  <c r="R43" i="2" a="1"/>
  <c r="R43" i="2"/>
  <c r="S43" i="2" a="1"/>
  <c r="S43" i="2" s="1"/>
  <c r="T43" i="2" a="1"/>
  <c r="T43" i="2" s="1"/>
  <c r="U43" i="2" a="1"/>
  <c r="U43" i="2" s="1"/>
  <c r="V43" i="2" a="1"/>
  <c r="V43" i="2" s="1"/>
  <c r="W43" i="2" a="1"/>
  <c r="W43" i="2" s="1"/>
  <c r="X43" i="2" a="1"/>
  <c r="X43" i="2" s="1"/>
  <c r="R44" i="2" a="1"/>
  <c r="R44" i="2"/>
  <c r="S44" i="2" a="1"/>
  <c r="S44" i="2" s="1"/>
  <c r="T44" i="2" a="1"/>
  <c r="T44" i="2" s="1"/>
  <c r="U44" i="2" a="1"/>
  <c r="U44" i="2" s="1"/>
  <c r="V44" i="2" a="1"/>
  <c r="V44" i="2" s="1"/>
  <c r="W44" i="2" a="1"/>
  <c r="W44" i="2" s="1"/>
  <c r="X44" i="2" a="1"/>
  <c r="X44" i="2" s="1"/>
  <c r="R45" i="2" a="1"/>
  <c r="R45" i="2"/>
  <c r="S45" i="2" a="1"/>
  <c r="S45" i="2" s="1"/>
  <c r="T45" i="2" a="1"/>
  <c r="T45" i="2" s="1"/>
  <c r="U45" i="2" a="1"/>
  <c r="U45" i="2" s="1"/>
  <c r="V45" i="2" a="1"/>
  <c r="V45" i="2" s="1"/>
  <c r="W45" i="2" a="1"/>
  <c r="W45" i="2" s="1"/>
  <c r="X45" i="2" a="1"/>
  <c r="X45" i="2" s="1"/>
  <c r="R46" i="2" a="1"/>
  <c r="R46" i="2"/>
  <c r="S46" i="2" a="1"/>
  <c r="S46" i="2" s="1"/>
  <c r="T46" i="2" a="1"/>
  <c r="T46" i="2" s="1"/>
  <c r="U46" i="2" a="1"/>
  <c r="U46" i="2" s="1"/>
  <c r="V46" i="2" a="1"/>
  <c r="V46" i="2" s="1"/>
  <c r="W46" i="2" a="1"/>
  <c r="W46" i="2" s="1"/>
  <c r="X46" i="2" a="1"/>
  <c r="X46" i="2" s="1"/>
  <c r="R47" i="2" a="1"/>
  <c r="R47" i="2"/>
  <c r="S47" i="2" a="1"/>
  <c r="S47" i="2" s="1"/>
  <c r="T47" i="2" a="1"/>
  <c r="T47" i="2" s="1"/>
  <c r="U47" i="2" a="1"/>
  <c r="U47" i="2" s="1"/>
  <c r="V47" i="2" a="1"/>
  <c r="V47" i="2" s="1"/>
  <c r="W47" i="2" a="1"/>
  <c r="W47" i="2" s="1"/>
  <c r="X47" i="2" a="1"/>
  <c r="X47" i="2" s="1"/>
  <c r="R48" i="2" a="1"/>
  <c r="R48" i="2"/>
  <c r="S48" i="2" a="1"/>
  <c r="S48" i="2" s="1"/>
  <c r="T48" i="2" a="1"/>
  <c r="T48" i="2" s="1"/>
  <c r="U48" i="2" a="1"/>
  <c r="U48" i="2" s="1"/>
  <c r="V48" i="2" a="1"/>
  <c r="V48" i="2" s="1"/>
  <c r="W48" i="2" a="1"/>
  <c r="W48" i="2" s="1"/>
  <c r="X48" i="2" a="1"/>
  <c r="X48" i="2" s="1"/>
  <c r="R49" i="2" a="1"/>
  <c r="R49" i="2"/>
  <c r="S49" i="2" a="1"/>
  <c r="S49" i="2" s="1"/>
  <c r="T49" i="2" a="1"/>
  <c r="T49" i="2" s="1"/>
  <c r="U49" i="2" a="1"/>
  <c r="U49" i="2" s="1"/>
  <c r="V49" i="2" a="1"/>
  <c r="V49" i="2" s="1"/>
  <c r="W49" i="2" a="1"/>
  <c r="W49" i="2" s="1"/>
  <c r="X49" i="2" a="1"/>
  <c r="X49" i="2" s="1"/>
  <c r="R50" i="2" a="1"/>
  <c r="R50" i="2"/>
  <c r="S50" i="2" a="1"/>
  <c r="S50" i="2" s="1"/>
  <c r="T50" i="2" a="1"/>
  <c r="T50" i="2" s="1"/>
  <c r="U50" i="2" a="1"/>
  <c r="U50" i="2" s="1"/>
  <c r="V50" i="2" a="1"/>
  <c r="V50" i="2" s="1"/>
  <c r="W50" i="2" a="1"/>
  <c r="W50" i="2" s="1"/>
  <c r="X50" i="2" a="1"/>
  <c r="X50" i="2" s="1"/>
  <c r="R51" i="2" a="1"/>
  <c r="R51" i="2"/>
  <c r="S51" i="2" a="1"/>
  <c r="S51" i="2" s="1"/>
  <c r="T51" i="2" a="1"/>
  <c r="T51" i="2" s="1"/>
  <c r="U51" i="2" a="1"/>
  <c r="U51" i="2" s="1"/>
  <c r="V51" i="2" a="1"/>
  <c r="V51" i="2" s="1"/>
  <c r="W51" i="2" a="1"/>
  <c r="W51" i="2" s="1"/>
  <c r="X51" i="2" a="1"/>
  <c r="X51" i="2" s="1"/>
  <c r="R52" i="2" a="1"/>
  <c r="R52" i="2"/>
  <c r="S52" i="2" a="1"/>
  <c r="S52" i="2" s="1"/>
  <c r="T52" i="2" a="1"/>
  <c r="T52" i="2" s="1"/>
  <c r="U52" i="2" a="1"/>
  <c r="U52" i="2" s="1"/>
  <c r="V52" i="2" a="1"/>
  <c r="V52" i="2" s="1"/>
  <c r="W52" i="2" a="1"/>
  <c r="W52" i="2" s="1"/>
  <c r="X52" i="2" a="1"/>
  <c r="X52" i="2" s="1"/>
  <c r="R53" i="2" a="1"/>
  <c r="R53" i="2"/>
  <c r="S53" i="2" a="1"/>
  <c r="S53" i="2" s="1"/>
  <c r="T53" i="2" a="1"/>
  <c r="T53" i="2" s="1"/>
  <c r="U53" i="2" a="1"/>
  <c r="U53" i="2" s="1"/>
  <c r="V53" i="2" a="1"/>
  <c r="V53" i="2" s="1"/>
  <c r="W53" i="2" a="1"/>
  <c r="W53" i="2" s="1"/>
  <c r="X53" i="2" a="1"/>
  <c r="X53" i="2" s="1"/>
  <c r="R54" i="2" a="1"/>
  <c r="R54" i="2"/>
  <c r="S54" i="2" a="1"/>
  <c r="S54" i="2" s="1"/>
  <c r="T54" i="2" a="1"/>
  <c r="T54" i="2" s="1"/>
  <c r="U54" i="2" a="1"/>
  <c r="U54" i="2" s="1"/>
  <c r="V54" i="2" a="1"/>
  <c r="V54" i="2" s="1"/>
  <c r="W54" i="2" a="1"/>
  <c r="W54" i="2" s="1"/>
  <c r="X54" i="2" a="1"/>
  <c r="X54" i="2" s="1"/>
  <c r="R55" i="2" a="1"/>
  <c r="R55" i="2"/>
  <c r="S55" i="2" a="1"/>
  <c r="S55" i="2" s="1"/>
  <c r="T55" i="2" a="1"/>
  <c r="T55" i="2" s="1"/>
  <c r="U55" i="2" a="1"/>
  <c r="U55" i="2" s="1"/>
  <c r="V55" i="2" a="1"/>
  <c r="V55" i="2" s="1"/>
  <c r="W55" i="2" a="1"/>
  <c r="W55" i="2" s="1"/>
  <c r="X55" i="2" a="1"/>
  <c r="X55" i="2" s="1"/>
  <c r="R56" i="2" a="1"/>
  <c r="R56" i="2"/>
  <c r="S56" i="2" a="1"/>
  <c r="S56" i="2" s="1"/>
  <c r="T56" i="2" a="1"/>
  <c r="T56" i="2" s="1"/>
  <c r="U56" i="2" a="1"/>
  <c r="U56" i="2" s="1"/>
  <c r="V56" i="2" a="1"/>
  <c r="V56" i="2" s="1"/>
  <c r="W56" i="2" a="1"/>
  <c r="W56" i="2" s="1"/>
  <c r="X56" i="2" a="1"/>
  <c r="X56" i="2" s="1"/>
  <c r="R57" i="2" a="1"/>
  <c r="R57" i="2"/>
  <c r="S57" i="2" a="1"/>
  <c r="S57" i="2" s="1"/>
  <c r="T57" i="2" a="1"/>
  <c r="T57" i="2" s="1"/>
  <c r="U57" i="2" a="1"/>
  <c r="U57" i="2" s="1"/>
  <c r="V57" i="2" a="1"/>
  <c r="V57" i="2" s="1"/>
  <c r="W57" i="2" a="1"/>
  <c r="W57" i="2" s="1"/>
  <c r="X57" i="2" a="1"/>
  <c r="X57" i="2" s="1"/>
  <c r="R58" i="2" a="1"/>
  <c r="R58" i="2"/>
  <c r="S58" i="2" a="1"/>
  <c r="S58" i="2" s="1"/>
  <c r="T58" i="2" a="1"/>
  <c r="T58" i="2" s="1"/>
  <c r="U58" i="2" a="1"/>
  <c r="U58" i="2" s="1"/>
  <c r="V58" i="2" a="1"/>
  <c r="V58" i="2" s="1"/>
  <c r="W58" i="2" a="1"/>
  <c r="W58" i="2" s="1"/>
  <c r="X58" i="2" a="1"/>
  <c r="X58" i="2" s="1"/>
  <c r="R59" i="2" a="1"/>
  <c r="R59" i="2"/>
  <c r="S59" i="2" a="1"/>
  <c r="S59" i="2" s="1"/>
  <c r="T59" i="2" a="1"/>
  <c r="T59" i="2" s="1"/>
  <c r="U59" i="2" a="1"/>
  <c r="U59" i="2" s="1"/>
  <c r="V59" i="2" a="1"/>
  <c r="V59" i="2" s="1"/>
  <c r="W59" i="2" a="1"/>
  <c r="W59" i="2" s="1"/>
  <c r="X59" i="2" a="1"/>
  <c r="X59" i="2" s="1"/>
  <c r="R60" i="2" a="1"/>
  <c r="R60" i="2"/>
  <c r="S60" i="2" a="1"/>
  <c r="S60" i="2" s="1"/>
  <c r="T60" i="2" a="1"/>
  <c r="T60" i="2" s="1"/>
  <c r="U60" i="2" a="1"/>
  <c r="U60" i="2" s="1"/>
  <c r="V60" i="2" a="1"/>
  <c r="V60" i="2" s="1"/>
  <c r="W60" i="2" a="1"/>
  <c r="W60" i="2" s="1"/>
  <c r="X60" i="2" a="1"/>
  <c r="X60" i="2" s="1"/>
  <c r="R61" i="2" a="1"/>
  <c r="R61" i="2"/>
  <c r="S61" i="2" a="1"/>
  <c r="S61" i="2" s="1"/>
  <c r="T61" i="2" a="1"/>
  <c r="T61" i="2" s="1"/>
  <c r="U61" i="2" a="1"/>
  <c r="U61" i="2" s="1"/>
  <c r="V61" i="2" a="1"/>
  <c r="V61" i="2" s="1"/>
  <c r="W61" i="2" a="1"/>
  <c r="W61" i="2" s="1"/>
  <c r="X61" i="2" a="1"/>
  <c r="X61" i="2" s="1"/>
  <c r="R62" i="2" a="1"/>
  <c r="R62" i="2"/>
  <c r="S62" i="2" a="1"/>
  <c r="S62" i="2" s="1"/>
  <c r="T62" i="2" a="1"/>
  <c r="T62" i="2" s="1"/>
  <c r="U62" i="2" a="1"/>
  <c r="U62" i="2" s="1"/>
  <c r="V62" i="2" a="1"/>
  <c r="V62" i="2" s="1"/>
  <c r="W62" i="2" a="1"/>
  <c r="W62" i="2" s="1"/>
  <c r="X62" i="2" a="1"/>
  <c r="X62" i="2" s="1"/>
  <c r="R63" i="2" a="1"/>
  <c r="R63" i="2"/>
  <c r="S63" i="2" a="1"/>
  <c r="S63" i="2" s="1"/>
  <c r="T63" i="2" a="1"/>
  <c r="T63" i="2" s="1"/>
  <c r="U63" i="2" a="1"/>
  <c r="U63" i="2" s="1"/>
  <c r="V63" i="2" a="1"/>
  <c r="V63" i="2" s="1"/>
  <c r="W63" i="2" a="1"/>
  <c r="W63" i="2" s="1"/>
  <c r="X63" i="2" a="1"/>
  <c r="X63" i="2" s="1"/>
  <c r="R64" i="2" a="1"/>
  <c r="R64" i="2"/>
  <c r="S64" i="2" a="1"/>
  <c r="S64" i="2" s="1"/>
  <c r="T64" i="2" a="1"/>
  <c r="T64" i="2" s="1"/>
  <c r="U64" i="2" a="1"/>
  <c r="U64" i="2" s="1"/>
  <c r="V64" i="2" a="1"/>
  <c r="V64" i="2" s="1"/>
  <c r="W64" i="2" a="1"/>
  <c r="W64" i="2" s="1"/>
  <c r="X64" i="2" a="1"/>
  <c r="X64" i="2" s="1"/>
  <c r="R65" i="2" a="1"/>
  <c r="R65" i="2"/>
  <c r="S65" i="2" a="1"/>
  <c r="S65" i="2" s="1"/>
  <c r="T65" i="2" a="1"/>
  <c r="T65" i="2" s="1"/>
  <c r="U65" i="2" a="1"/>
  <c r="U65" i="2"/>
  <c r="V65" i="2" a="1"/>
  <c r="V65" i="2" s="1"/>
  <c r="W65" i="2" a="1"/>
  <c r="W65" i="2"/>
  <c r="X65" i="2" a="1"/>
  <c r="X65" i="2" s="1"/>
  <c r="R66" i="2" a="1"/>
  <c r="R66" i="2"/>
  <c r="S66" i="2" a="1"/>
  <c r="S66" i="2" s="1"/>
  <c r="T66" i="2" a="1"/>
  <c r="T66" i="2" s="1"/>
  <c r="U66" i="2" a="1"/>
  <c r="U66" i="2" s="1"/>
  <c r="V66" i="2" a="1"/>
  <c r="V66" i="2" s="1"/>
  <c r="W66" i="2" a="1"/>
  <c r="W66" i="2" s="1"/>
  <c r="X66" i="2" a="1"/>
  <c r="X66" i="2" s="1"/>
  <c r="R67" i="2" a="1"/>
  <c r="R67" i="2"/>
  <c r="S67" i="2" a="1"/>
  <c r="S67" i="2" s="1"/>
  <c r="T67" i="2" a="1"/>
  <c r="T67" i="2"/>
  <c r="U67" i="2" a="1"/>
  <c r="U67" i="2" s="1"/>
  <c r="V67" i="2" a="1"/>
  <c r="V67" i="2" s="1"/>
  <c r="W67" i="2" a="1"/>
  <c r="W67" i="2" s="1"/>
  <c r="X67" i="2" a="1"/>
  <c r="X67" i="2" s="1"/>
  <c r="R68" i="2" a="1"/>
  <c r="R68" i="2"/>
  <c r="S68" i="2" a="1"/>
  <c r="S68" i="2" s="1"/>
  <c r="T68" i="2" a="1"/>
  <c r="T68" i="2"/>
  <c r="U68" i="2" a="1"/>
  <c r="U68" i="2" s="1"/>
  <c r="V68" i="2" a="1"/>
  <c r="V68" i="2" s="1"/>
  <c r="W68" i="2" a="1"/>
  <c r="W68" i="2" s="1"/>
  <c r="X68" i="2" a="1"/>
  <c r="X68" i="2" s="1"/>
  <c r="R69" i="2" a="1"/>
  <c r="R69" i="2"/>
  <c r="S69" i="2" a="1"/>
  <c r="S69" i="2" s="1"/>
  <c r="T69" i="2" a="1"/>
  <c r="T69" i="2" s="1"/>
  <c r="U69" i="2" a="1"/>
  <c r="U69" i="2" s="1"/>
  <c r="V69" i="2" a="1"/>
  <c r="V69" i="2" s="1"/>
  <c r="W69" i="2" a="1"/>
  <c r="W69" i="2" s="1"/>
  <c r="X69" i="2" a="1"/>
  <c r="X69" i="2" s="1"/>
  <c r="R70" i="2" a="1"/>
  <c r="R70" i="2"/>
  <c r="S70" i="2" a="1"/>
  <c r="S70" i="2" s="1"/>
  <c r="T70" i="2" a="1"/>
  <c r="T70" i="2" s="1"/>
  <c r="U70" i="2" a="1"/>
  <c r="U70" i="2" s="1"/>
  <c r="V70" i="2" a="1"/>
  <c r="V70" i="2"/>
  <c r="W70" i="2" a="1"/>
  <c r="W70" i="2" s="1"/>
  <c r="X70" i="2" a="1"/>
  <c r="X70" i="2" s="1"/>
  <c r="R71" i="2" a="1"/>
  <c r="R71" i="2"/>
  <c r="S71" i="2" a="1"/>
  <c r="S71" i="2" s="1"/>
  <c r="T71" i="2" a="1"/>
  <c r="T71" i="2" s="1"/>
  <c r="U71" i="2" a="1"/>
  <c r="U71" i="2" s="1"/>
  <c r="V71" i="2" a="1"/>
  <c r="V71" i="2" s="1"/>
  <c r="W71" i="2" a="1"/>
  <c r="W71" i="2" s="1"/>
  <c r="X71" i="2" a="1"/>
  <c r="X71" i="2" s="1"/>
  <c r="R72" i="2" a="1"/>
  <c r="R72" i="2"/>
  <c r="S72" i="2" a="1"/>
  <c r="S72" i="2" s="1"/>
  <c r="T72" i="2" a="1"/>
  <c r="T72" i="2" s="1"/>
  <c r="U72" i="2" a="1"/>
  <c r="U72" i="2" s="1"/>
  <c r="V72" i="2" a="1"/>
  <c r="V72" i="2" s="1"/>
  <c r="W72" i="2" a="1"/>
  <c r="W72" i="2" s="1"/>
  <c r="X72" i="2" a="1"/>
  <c r="X72" i="2" s="1"/>
  <c r="R73" i="2" a="1"/>
  <c r="R73" i="2"/>
  <c r="S73" i="2" a="1"/>
  <c r="S73" i="2"/>
  <c r="T73" i="2" a="1"/>
  <c r="T73" i="2" s="1"/>
  <c r="U73" i="2" a="1"/>
  <c r="U73" i="2" s="1"/>
  <c r="V73" i="2" a="1"/>
  <c r="V73" i="2" s="1"/>
  <c r="W73" i="2" a="1"/>
  <c r="W73" i="2" s="1"/>
  <c r="X73" i="2" a="1"/>
  <c r="X73" i="2" s="1"/>
  <c r="R74" i="2" a="1"/>
  <c r="R74" i="2"/>
  <c r="S74" i="2" a="1"/>
  <c r="S74" i="2" s="1"/>
  <c r="T74" i="2" a="1"/>
  <c r="T74" i="2"/>
  <c r="U74" i="2" a="1"/>
  <c r="U74" i="2" s="1"/>
  <c r="V74" i="2" a="1"/>
  <c r="V74" i="2" s="1"/>
  <c r="W74" i="2" a="1"/>
  <c r="W74" i="2"/>
  <c r="X74" i="2" a="1"/>
  <c r="X74" i="2" s="1"/>
  <c r="R75" i="2" a="1"/>
  <c r="R75" i="2"/>
  <c r="S75" i="2" a="1"/>
  <c r="S75" i="2" s="1"/>
  <c r="T75" i="2" a="1"/>
  <c r="T75" i="2" s="1"/>
  <c r="U75" i="2" a="1"/>
  <c r="U75" i="2" s="1"/>
  <c r="V75" i="2" a="1"/>
  <c r="V75" i="2" s="1"/>
  <c r="W75" i="2" a="1"/>
  <c r="W75" i="2" s="1"/>
  <c r="X75" i="2" a="1"/>
  <c r="X75" i="2"/>
  <c r="R76" i="2" a="1"/>
  <c r="R76" i="2"/>
  <c r="S76" i="2" a="1"/>
  <c r="S76" i="2" s="1"/>
  <c r="T76" i="2" a="1"/>
  <c r="T76" i="2" s="1"/>
  <c r="U76" i="2" a="1"/>
  <c r="U76" i="2" s="1"/>
  <c r="V76" i="2" a="1"/>
  <c r="V76" i="2"/>
  <c r="W76" i="2" a="1"/>
  <c r="W76" i="2" s="1"/>
  <c r="X76" i="2" a="1"/>
  <c r="X76" i="2"/>
  <c r="R77" i="2" a="1"/>
  <c r="R77" i="2"/>
  <c r="S77" i="2" a="1"/>
  <c r="S77" i="2" s="1"/>
  <c r="T77" i="2" a="1"/>
  <c r="T77" i="2" s="1"/>
  <c r="U77" i="2" a="1"/>
  <c r="U77" i="2" s="1"/>
  <c r="V77" i="2" a="1"/>
  <c r="V77" i="2"/>
  <c r="W77" i="2" a="1"/>
  <c r="W77" i="2" s="1"/>
  <c r="X77" i="2" a="1"/>
  <c r="X77" i="2" s="1"/>
  <c r="R78" i="2" a="1"/>
  <c r="R78" i="2"/>
  <c r="S78" i="2" a="1"/>
  <c r="S78" i="2" s="1"/>
  <c r="T78" i="2" a="1"/>
  <c r="T78" i="2" s="1"/>
  <c r="U78" i="2" a="1"/>
  <c r="U78" i="2" s="1"/>
  <c r="V78" i="2" a="1"/>
  <c r="V78" i="2" s="1"/>
  <c r="W78" i="2" a="1"/>
  <c r="W78" i="2" s="1"/>
  <c r="X78" i="2" a="1"/>
  <c r="X78" i="2" s="1"/>
  <c r="R79" i="2" a="1"/>
  <c r="R79" i="2"/>
  <c r="S79" i="2" a="1"/>
  <c r="S79" i="2" s="1"/>
  <c r="T79" i="2" a="1"/>
  <c r="T79" i="2" s="1"/>
  <c r="U79" i="2" a="1"/>
  <c r="U79" i="2" s="1"/>
  <c r="V79" i="2" a="1"/>
  <c r="V79" i="2" s="1"/>
  <c r="W79" i="2" a="1"/>
  <c r="W79" i="2" s="1"/>
  <c r="X79" i="2" a="1"/>
  <c r="X79" i="2"/>
  <c r="R80" i="2" a="1"/>
  <c r="R80" i="2"/>
  <c r="S80" i="2" a="1"/>
  <c r="S80" i="2" s="1"/>
  <c r="T80" i="2" a="1"/>
  <c r="T80" i="2" s="1"/>
  <c r="U80" i="2" a="1"/>
  <c r="U80" i="2" s="1"/>
  <c r="V80" i="2" a="1"/>
  <c r="V80" i="2" s="1"/>
  <c r="W80" i="2" a="1"/>
  <c r="W80" i="2" s="1"/>
  <c r="X80" i="2" a="1"/>
  <c r="X80" i="2" s="1"/>
  <c r="R81" i="2" a="1"/>
  <c r="R81" i="2"/>
  <c r="S81" i="2" a="1"/>
  <c r="S81" i="2" s="1"/>
  <c r="T81" i="2" a="1"/>
  <c r="T81" i="2" s="1"/>
  <c r="U81" i="2" a="1"/>
  <c r="U81" i="2"/>
  <c r="V81" i="2" a="1"/>
  <c r="V81" i="2" s="1"/>
  <c r="W81" i="2" a="1"/>
  <c r="W81" i="2" s="1"/>
  <c r="X81" i="2" a="1"/>
  <c r="X81" i="2" s="1"/>
  <c r="R82" i="2" a="1"/>
  <c r="R82" i="2"/>
  <c r="S82" i="2" a="1"/>
  <c r="S82" i="2" s="1"/>
  <c r="T82" i="2" a="1"/>
  <c r="T82" i="2" s="1"/>
  <c r="U82" i="2" a="1"/>
  <c r="U82" i="2" s="1"/>
  <c r="V82" i="2" a="1"/>
  <c r="V82" i="2" s="1"/>
  <c r="W82" i="2" a="1"/>
  <c r="W82" i="2" s="1"/>
  <c r="X82" i="2" a="1"/>
  <c r="X82" i="2" s="1"/>
  <c r="R83" i="2" a="1"/>
  <c r="R83" i="2"/>
  <c r="S83" i="2" a="1"/>
  <c r="S83" i="2" s="1"/>
  <c r="T83" i="2" a="1"/>
  <c r="T83" i="2" s="1"/>
  <c r="U83" i="2" a="1"/>
  <c r="U83" i="2" s="1"/>
  <c r="V83" i="2" a="1"/>
  <c r="V83" i="2" s="1"/>
  <c r="W83" i="2" a="1"/>
  <c r="W83" i="2" s="1"/>
  <c r="X83" i="2" a="1"/>
  <c r="X83" i="2" s="1"/>
  <c r="R84" i="2" a="1"/>
  <c r="R84" i="2"/>
  <c r="S84" i="2" a="1"/>
  <c r="S84" i="2" s="1"/>
  <c r="T84" i="2" a="1"/>
  <c r="T84" i="2" s="1"/>
  <c r="U84" i="2" a="1"/>
  <c r="U84" i="2" s="1"/>
  <c r="V84" i="2" a="1"/>
  <c r="V84" i="2"/>
  <c r="W84" i="2" a="1"/>
  <c r="W84" i="2" s="1"/>
  <c r="X84" i="2" a="1"/>
  <c r="X84" i="2" s="1"/>
  <c r="R85" i="2" a="1"/>
  <c r="R85" i="2"/>
  <c r="S85" i="2" a="1"/>
  <c r="S85" i="2" s="1"/>
  <c r="T85" i="2" a="1"/>
  <c r="T85" i="2" s="1"/>
  <c r="U85" i="2" a="1"/>
  <c r="U85" i="2" s="1"/>
  <c r="V85" i="2" a="1"/>
  <c r="V85" i="2" s="1"/>
  <c r="W85" i="2" a="1"/>
  <c r="W85" i="2" s="1"/>
  <c r="X85" i="2" a="1"/>
  <c r="X85" i="2" s="1"/>
  <c r="R86" i="2" a="1"/>
  <c r="R86" i="2"/>
  <c r="S86" i="2" a="1"/>
  <c r="S86" i="2"/>
  <c r="T86" i="2" a="1"/>
  <c r="T86" i="2" s="1"/>
  <c r="U86" i="2" a="1"/>
  <c r="U86" i="2" s="1"/>
  <c r="V86" i="2" a="1"/>
  <c r="V86" i="2" s="1"/>
  <c r="W86" i="2" a="1"/>
  <c r="W86" i="2" s="1"/>
  <c r="X86" i="2" a="1"/>
  <c r="X86" i="2" s="1"/>
  <c r="R87" i="2" a="1"/>
  <c r="R87" i="2"/>
  <c r="S87" i="2" a="1"/>
  <c r="S87" i="2" s="1"/>
  <c r="T87" i="2" a="1"/>
  <c r="T87" i="2" s="1"/>
  <c r="U87" i="2" a="1"/>
  <c r="U87" i="2" s="1"/>
  <c r="V87" i="2" a="1"/>
  <c r="V87" i="2" s="1"/>
  <c r="W87" i="2" a="1"/>
  <c r="W87" i="2"/>
  <c r="X87" i="2" a="1"/>
  <c r="X87" i="2" s="1"/>
  <c r="R88" i="2" a="1"/>
  <c r="R88" i="2"/>
  <c r="S88" i="2" a="1"/>
  <c r="S88" i="2" s="1"/>
  <c r="T88" i="2" a="1"/>
  <c r="T88" i="2" s="1"/>
  <c r="U88" i="2" a="1"/>
  <c r="U88" i="2"/>
  <c r="V88" i="2" a="1"/>
  <c r="V88" i="2" s="1"/>
  <c r="W88" i="2" a="1"/>
  <c r="W88" i="2" s="1"/>
  <c r="X88" i="2" a="1"/>
  <c r="X88" i="2"/>
  <c r="R89" i="2" a="1"/>
  <c r="R89" i="2"/>
  <c r="S89" i="2" a="1"/>
  <c r="S89" i="2" s="1"/>
  <c r="T89" i="2" a="1"/>
  <c r="T89" i="2" s="1"/>
  <c r="U89" i="2" a="1"/>
  <c r="U89" i="2" s="1"/>
  <c r="V89" i="2" a="1"/>
  <c r="V89" i="2" s="1"/>
  <c r="W89" i="2" a="1"/>
  <c r="W89" i="2" s="1"/>
  <c r="X89" i="2" a="1"/>
  <c r="X89" i="2" s="1"/>
  <c r="R90" i="2" a="1"/>
  <c r="R90" i="2"/>
  <c r="S90" i="2" a="1"/>
  <c r="S90" i="2" s="1"/>
  <c r="T90" i="2" a="1"/>
  <c r="T90" i="2"/>
  <c r="U90" i="2" a="1"/>
  <c r="U90" i="2" s="1"/>
  <c r="V90" i="2" a="1"/>
  <c r="V90" i="2" s="1"/>
  <c r="W90" i="2" a="1"/>
  <c r="W90" i="2" s="1"/>
  <c r="X90" i="2" a="1"/>
  <c r="X90" i="2" s="1"/>
  <c r="R91" i="2" a="1"/>
  <c r="R91" i="2"/>
  <c r="S91" i="2" a="1"/>
  <c r="S91" i="2" s="1"/>
  <c r="T91" i="2" a="1"/>
  <c r="T91" i="2" s="1"/>
  <c r="U91" i="2" a="1"/>
  <c r="U91" i="2" s="1"/>
  <c r="V91" i="2" a="1"/>
  <c r="V91" i="2" s="1"/>
  <c r="W91" i="2" a="1"/>
  <c r="W91" i="2" s="1"/>
  <c r="X91" i="2" a="1"/>
  <c r="X91" i="2" s="1"/>
  <c r="R92" i="2" a="1"/>
  <c r="R92" i="2"/>
  <c r="S92" i="2" a="1"/>
  <c r="S92" i="2" s="1"/>
  <c r="T92" i="2" a="1"/>
  <c r="T92" i="2" s="1"/>
  <c r="U92" i="2" a="1"/>
  <c r="U92" i="2" s="1"/>
  <c r="V92" i="2" a="1"/>
  <c r="V92" i="2" s="1"/>
  <c r="W92" i="2" a="1"/>
  <c r="W92" i="2" s="1"/>
  <c r="X92" i="2" a="1"/>
  <c r="X92" i="2"/>
  <c r="R93" i="2" a="1"/>
  <c r="R93" i="2"/>
  <c r="S93" i="2" a="1"/>
  <c r="S93" i="2" s="1"/>
  <c r="T93" i="2" a="1"/>
  <c r="T93" i="2" s="1"/>
  <c r="U93" i="2" a="1"/>
  <c r="U93" i="2" s="1"/>
  <c r="V93" i="2" a="1"/>
  <c r="V93" i="2"/>
  <c r="W93" i="2" a="1"/>
  <c r="W93" i="2" s="1"/>
  <c r="X93" i="2" a="1"/>
  <c r="X93" i="2" s="1"/>
  <c r="R94" i="2" a="1"/>
  <c r="R94" i="2"/>
  <c r="S94" i="2" a="1"/>
  <c r="S94" i="2" s="1"/>
  <c r="T94" i="2" a="1"/>
  <c r="T94" i="2"/>
  <c r="U94" i="2" a="1"/>
  <c r="U94" i="2" s="1"/>
  <c r="V94" i="2" a="1"/>
  <c r="V94" i="2" s="1"/>
  <c r="W94" i="2" a="1"/>
  <c r="W94" i="2" s="1"/>
  <c r="X94" i="2" a="1"/>
  <c r="X94" i="2"/>
  <c r="R95" i="2" a="1"/>
  <c r="R95" i="2"/>
  <c r="S95" i="2" a="1"/>
  <c r="S95" i="2" s="1"/>
  <c r="T95" i="2" a="1"/>
  <c r="T95" i="2" s="1"/>
  <c r="U95" i="2" a="1"/>
  <c r="U95" i="2" s="1"/>
  <c r="V95" i="2" a="1"/>
  <c r="V95" i="2" s="1"/>
  <c r="W95" i="2" a="1"/>
  <c r="W95" i="2" s="1"/>
  <c r="X95" i="2" a="1"/>
  <c r="X95" i="2"/>
  <c r="R96" i="2" a="1"/>
  <c r="R96" i="2"/>
  <c r="S96" i="2" a="1"/>
  <c r="S96" i="2" s="1"/>
  <c r="T96" i="2" a="1"/>
  <c r="T96" i="2" s="1"/>
  <c r="U96" i="2" a="1"/>
  <c r="U96" i="2" s="1"/>
  <c r="V96" i="2" a="1"/>
  <c r="V96" i="2" s="1"/>
  <c r="W96" i="2" a="1"/>
  <c r="W96" i="2" s="1"/>
  <c r="X96" i="2" a="1"/>
  <c r="X96" i="2" s="1"/>
  <c r="R97" i="2" a="1"/>
  <c r="R97" i="2"/>
  <c r="S97" i="2" a="1"/>
  <c r="S97" i="2"/>
  <c r="T97" i="2" a="1"/>
  <c r="T97" i="2" s="1"/>
  <c r="U97" i="2" a="1"/>
  <c r="U97" i="2"/>
  <c r="V97" i="2" a="1"/>
  <c r="V97" i="2" s="1"/>
  <c r="W97" i="2" a="1"/>
  <c r="W97" i="2" s="1"/>
  <c r="X97" i="2" a="1"/>
  <c r="X97" i="2" s="1"/>
  <c r="R98" i="2" a="1"/>
  <c r="R98" i="2"/>
  <c r="S98" i="2" a="1"/>
  <c r="S98" i="2" s="1"/>
  <c r="T98" i="2" a="1"/>
  <c r="T98" i="2" s="1"/>
  <c r="U98" i="2" a="1"/>
  <c r="U98" i="2" s="1"/>
  <c r="V98" i="2" a="1"/>
  <c r="V98" i="2" s="1"/>
  <c r="W98" i="2" a="1"/>
  <c r="W98" i="2"/>
  <c r="X98" i="2" a="1"/>
  <c r="X98" i="2" s="1"/>
  <c r="R99" i="2" a="1"/>
  <c r="R99" i="2"/>
  <c r="S99" i="2" a="1"/>
  <c r="S99" i="2" s="1"/>
  <c r="T99" i="2" a="1"/>
  <c r="T99" i="2" s="1"/>
  <c r="U99" i="2" a="1"/>
  <c r="U99" i="2" s="1"/>
  <c r="V99" i="2" a="1"/>
  <c r="V99" i="2" s="1"/>
  <c r="W99" i="2" a="1"/>
  <c r="W99" i="2" s="1"/>
  <c r="X99" i="2" a="1"/>
  <c r="X99" i="2" s="1"/>
  <c r="R100" i="2" a="1"/>
  <c r="R100" i="2"/>
  <c r="S100" i="2" a="1"/>
  <c r="S100" i="2" s="1"/>
  <c r="T100" i="2" a="1"/>
  <c r="T100" i="2" s="1"/>
  <c r="U100" i="2" a="1"/>
  <c r="U100" i="2" s="1"/>
  <c r="V100" i="2" a="1"/>
  <c r="V100" i="2"/>
  <c r="W100" i="2" a="1"/>
  <c r="W100" i="2" s="1"/>
  <c r="X100" i="2" a="1"/>
  <c r="X100" i="2" s="1"/>
  <c r="R101" i="2" a="1"/>
  <c r="R101" i="2"/>
  <c r="S101" i="2" a="1"/>
  <c r="S101" i="2" s="1"/>
  <c r="T101" i="2" a="1"/>
  <c r="T101" i="2" s="1"/>
  <c r="U101" i="2" a="1"/>
  <c r="U101" i="2" s="1"/>
  <c r="V101" i="2" a="1"/>
  <c r="V101" i="2" s="1"/>
  <c r="W101" i="2" a="1"/>
  <c r="W101" i="2" s="1"/>
  <c r="X101" i="2" a="1"/>
  <c r="X101" i="2" s="1"/>
  <c r="R102" i="2" a="1"/>
  <c r="R102" i="2"/>
  <c r="S102" i="2" a="1"/>
  <c r="S102" i="2"/>
  <c r="T102" i="2" a="1"/>
  <c r="T102" i="2"/>
  <c r="U102" i="2" a="1"/>
  <c r="U102" i="2" s="1"/>
  <c r="V102" i="2" a="1"/>
  <c r="V102" i="2" s="1"/>
  <c r="W102" i="2" a="1"/>
  <c r="W102" i="2" s="1"/>
  <c r="X102" i="2" a="1"/>
  <c r="X102" i="2" s="1"/>
  <c r="R103" i="2" a="1"/>
  <c r="R103" i="2"/>
  <c r="S103" i="2" a="1"/>
  <c r="S103" i="2" s="1"/>
  <c r="T103" i="2" a="1"/>
  <c r="T103" i="2" s="1"/>
  <c r="U103" i="2" a="1"/>
  <c r="U103" i="2" s="1"/>
  <c r="V103" i="2" a="1"/>
  <c r="V103" i="2" s="1"/>
  <c r="W103" i="2" a="1"/>
  <c r="W103" i="2"/>
  <c r="X103" i="2" a="1"/>
  <c r="X103" i="2"/>
  <c r="R104" i="2" a="1"/>
  <c r="R104" i="2"/>
  <c r="S104" i="2" a="1"/>
  <c r="S104" i="2" s="1"/>
  <c r="T104" i="2" a="1"/>
  <c r="T104" i="2" s="1"/>
  <c r="U104" i="2" a="1"/>
  <c r="U104" i="2"/>
  <c r="V104" i="2" a="1"/>
  <c r="V104" i="2" s="1"/>
  <c r="W104" i="2" a="1"/>
  <c r="W104" i="2" s="1"/>
  <c r="X104" i="2" a="1"/>
  <c r="X104" i="2"/>
  <c r="R105" i="2" a="1"/>
  <c r="R105" i="2"/>
  <c r="S105" i="2" a="1"/>
  <c r="S105" i="2"/>
  <c r="T105" i="2" a="1"/>
  <c r="T105" i="2" s="1"/>
  <c r="U105" i="2" a="1"/>
  <c r="U105" i="2" s="1"/>
  <c r="V105" i="2" a="1"/>
  <c r="V105" i="2" s="1"/>
  <c r="W105" i="2" a="1"/>
  <c r="W105" i="2" s="1"/>
  <c r="X105" i="2" a="1"/>
  <c r="X105" i="2" s="1"/>
  <c r="R106" i="2" a="1"/>
  <c r="R106" i="2"/>
  <c r="S106" i="2" a="1"/>
  <c r="S106" i="2"/>
  <c r="T106" i="2" a="1"/>
  <c r="T106" i="2"/>
  <c r="U106" i="2" a="1"/>
  <c r="U106" i="2" s="1"/>
  <c r="V106" i="2" a="1"/>
  <c r="V106" i="2" s="1"/>
  <c r="W106" i="2" a="1"/>
  <c r="W106" i="2" s="1"/>
  <c r="X106" i="2" a="1"/>
  <c r="X106" i="2" s="1"/>
  <c r="R107" i="2" a="1"/>
  <c r="R107" i="2"/>
  <c r="S107" i="2" a="1"/>
  <c r="S107" i="2" s="1"/>
  <c r="T107" i="2" a="1"/>
  <c r="T107" i="2" s="1"/>
  <c r="U107" i="2" a="1"/>
  <c r="U107" i="2" s="1"/>
  <c r="V107" i="2" a="1"/>
  <c r="V107" i="2" s="1"/>
  <c r="W107" i="2" a="1"/>
  <c r="W107" i="2"/>
  <c r="X107" i="2" a="1"/>
  <c r="X107" i="2"/>
  <c r="R108" i="2" a="1"/>
  <c r="R108" i="2"/>
  <c r="S108" i="2" a="1"/>
  <c r="S108" i="2" s="1"/>
  <c r="T108" i="2" a="1"/>
  <c r="T108" i="2" s="1"/>
  <c r="U108" i="2" a="1"/>
  <c r="U108" i="2" s="1"/>
  <c r="V108" i="2" a="1"/>
  <c r="V108" i="2" s="1"/>
  <c r="W108" i="2" a="1"/>
  <c r="W108" i="2" s="1"/>
  <c r="X108" i="2" a="1"/>
  <c r="X108" i="2" s="1"/>
  <c r="R109" i="2" a="1"/>
  <c r="R109" i="2"/>
  <c r="S109" i="2" a="1"/>
  <c r="S109" i="2"/>
  <c r="T109" i="2" a="1"/>
  <c r="T109" i="2" s="1"/>
  <c r="U109" i="2" a="1"/>
  <c r="U109" i="2" s="1"/>
  <c r="V109" i="2" a="1"/>
  <c r="V109" i="2" s="1"/>
  <c r="W109" i="2" a="1"/>
  <c r="W109" i="2" s="1"/>
  <c r="X109" i="2" a="1"/>
  <c r="X109" i="2" s="1"/>
  <c r="R110" i="2" a="1"/>
  <c r="R110" i="2"/>
  <c r="S110" i="2" a="1"/>
  <c r="S110" i="2"/>
  <c r="T110" i="2" a="1"/>
  <c r="T110" i="2" s="1"/>
  <c r="U110" i="2" a="1"/>
  <c r="U110" i="2" s="1"/>
  <c r="V110" i="2" a="1"/>
  <c r="V110" i="2" s="1"/>
  <c r="W110" i="2" a="1"/>
  <c r="W110" i="2" s="1"/>
  <c r="X110" i="2" a="1"/>
  <c r="X110" i="2"/>
  <c r="S3" i="2" a="1"/>
  <c r="S3" i="2" s="1"/>
  <c r="T3" i="2" a="1"/>
  <c r="T3" i="2" s="1"/>
  <c r="U3" i="2" a="1"/>
  <c r="U3" i="2" s="1"/>
  <c r="V3" i="2" a="1"/>
  <c r="V3" i="2"/>
  <c r="W3" i="2" a="1"/>
  <c r="W3" i="2" s="1"/>
  <c r="X3" i="2" a="1"/>
  <c r="X3" i="2" s="1"/>
  <c r="R3" i="2" a="1"/>
  <c r="R3" i="2"/>
  <c r="M4" i="2" a="1"/>
  <c r="M4" i="2" s="1"/>
  <c r="N4" i="2" a="1"/>
  <c r="N4" i="2" s="1"/>
  <c r="O4" i="2" a="1"/>
  <c r="O4" i="2"/>
  <c r="P4" i="2" a="1"/>
  <c r="P4" i="2"/>
  <c r="Q4" i="2" a="1"/>
  <c r="Q4" i="2" s="1"/>
  <c r="M5" i="2" a="1"/>
  <c r="M5" i="2" s="1"/>
  <c r="N5" i="2" a="1"/>
  <c r="N5" i="2" s="1"/>
  <c r="O5" i="2" a="1"/>
  <c r="O5" i="2" s="1"/>
  <c r="P5" i="2" a="1"/>
  <c r="P5" i="2" s="1"/>
  <c r="Q5" i="2" a="1"/>
  <c r="Q5" i="2" s="1"/>
  <c r="M6" i="2" a="1"/>
  <c r="M6" i="2" s="1"/>
  <c r="N6" i="2" a="1"/>
  <c r="N6" i="2" s="1"/>
  <c r="O6" i="2" a="1"/>
  <c r="O6" i="2"/>
  <c r="P6" i="2" a="1"/>
  <c r="P6" i="2" s="1"/>
  <c r="Q6" i="2" a="1"/>
  <c r="Q6" i="2" s="1"/>
  <c r="L7" i="2" a="1"/>
  <c r="L7" i="2" s="1"/>
  <c r="M7" i="2" a="1"/>
  <c r="M7" i="2" s="1"/>
  <c r="N7" i="2" a="1"/>
  <c r="N7" i="2" s="1"/>
  <c r="O7" i="2" a="1"/>
  <c r="O7" i="2"/>
  <c r="P7" i="2" a="1"/>
  <c r="P7" i="2"/>
  <c r="Q7" i="2" a="1"/>
  <c r="Q7" i="2" s="1"/>
  <c r="L8" i="2" a="1"/>
  <c r="L8" i="2" s="1"/>
  <c r="M8" i="2" a="1"/>
  <c r="M8" i="2" s="1"/>
  <c r="N8" i="2" a="1"/>
  <c r="N8" i="2" s="1"/>
  <c r="O8" i="2" a="1"/>
  <c r="O8" i="2"/>
  <c r="P8" i="2" a="1"/>
  <c r="P8" i="2" s="1"/>
  <c r="Q8" i="2" a="1"/>
  <c r="Q8" i="2" s="1"/>
  <c r="L9" i="2" a="1"/>
  <c r="L9" i="2" s="1"/>
  <c r="M9" i="2" a="1"/>
  <c r="M9" i="2"/>
  <c r="N9" i="2" a="1"/>
  <c r="N9" i="2" s="1"/>
  <c r="O9" i="2" a="1"/>
  <c r="O9" i="2" s="1"/>
  <c r="P9" i="2" a="1"/>
  <c r="P9" i="2" s="1"/>
  <c r="Q9" i="2" a="1"/>
  <c r="Q9" i="2" s="1"/>
  <c r="L10" i="2" a="1"/>
  <c r="L10" i="2" s="1"/>
  <c r="M10" i="2" a="1"/>
  <c r="M10" i="2" s="1"/>
  <c r="N10" i="2" a="1"/>
  <c r="N10" i="2"/>
  <c r="O10" i="2" a="1"/>
  <c r="O10" i="2" s="1"/>
  <c r="P10" i="2" a="1"/>
  <c r="P10" i="2" s="1"/>
  <c r="Q10" i="2" a="1"/>
  <c r="Q10" i="2" s="1"/>
  <c r="L11" i="2" a="1"/>
  <c r="L11" i="2" s="1"/>
  <c r="M11" i="2" a="1"/>
  <c r="M11" i="2" s="1"/>
  <c r="N11" i="2" a="1"/>
  <c r="N11" i="2" s="1"/>
  <c r="O11" i="2" a="1"/>
  <c r="O11" i="2" s="1"/>
  <c r="P11" i="2" a="1"/>
  <c r="P11" i="2"/>
  <c r="Q11" i="2" a="1"/>
  <c r="Q11" i="2" s="1"/>
  <c r="L12" i="2" a="1"/>
  <c r="L12" i="2" s="1"/>
  <c r="M12" i="2" a="1"/>
  <c r="M12" i="2" s="1"/>
  <c r="N12" i="2" a="1"/>
  <c r="N12" i="2" s="1"/>
  <c r="O12" i="2" a="1"/>
  <c r="O12" i="2" s="1"/>
  <c r="P12" i="2" a="1"/>
  <c r="P12" i="2" s="1"/>
  <c r="Q12" i="2" a="1"/>
  <c r="Q12" i="2" s="1"/>
  <c r="O13" i="2" a="1"/>
  <c r="O13" i="2"/>
  <c r="P13" i="2" a="1"/>
  <c r="P13" i="2" s="1"/>
  <c r="Q13" i="2" a="1"/>
  <c r="Q13" i="2" s="1"/>
  <c r="L14" i="2" a="1"/>
  <c r="L14" i="2" s="1"/>
  <c r="M14" i="2" a="1"/>
  <c r="M14" i="2" s="1"/>
  <c r="N14" i="2" a="1"/>
  <c r="N14" i="2"/>
  <c r="O14" i="2" a="1"/>
  <c r="O14" i="2" s="1"/>
  <c r="P14" i="2" a="1"/>
  <c r="P14" i="2" s="1"/>
  <c r="Q14" i="2" a="1"/>
  <c r="Q14" i="2"/>
  <c r="L15" i="2" a="1"/>
  <c r="L15" i="2" s="1"/>
  <c r="M15" i="2" a="1"/>
  <c r="M15" i="2" s="1"/>
  <c r="N15" i="2" a="1"/>
  <c r="N15" i="2" s="1"/>
  <c r="O15" i="2" a="1"/>
  <c r="O15" i="2" s="1"/>
  <c r="P15" i="2" a="1"/>
  <c r="P15" i="2" s="1"/>
  <c r="Q15" i="2" a="1"/>
  <c r="Q15" i="2" s="1"/>
  <c r="L16" i="2" a="1"/>
  <c r="L16" i="2" s="1"/>
  <c r="M16" i="2" a="1"/>
  <c r="M16" i="2"/>
  <c r="N16" i="2" a="1"/>
  <c r="N16" i="2"/>
  <c r="O16" i="2" a="1"/>
  <c r="O16" i="2" s="1"/>
  <c r="P16" i="2" a="1"/>
  <c r="P16" i="2"/>
  <c r="Q16" i="2" a="1"/>
  <c r="Q16" i="2" s="1"/>
  <c r="O17" i="2" a="1"/>
  <c r="O17" i="2" s="1"/>
  <c r="P17" i="2" a="1"/>
  <c r="P17" i="2" s="1"/>
  <c r="Q17" i="2" a="1"/>
  <c r="Q17" i="2"/>
  <c r="L18" i="2" a="1"/>
  <c r="L18" i="2" s="1"/>
  <c r="M18" i="2" a="1"/>
  <c r="M18" i="2" s="1"/>
  <c r="N18" i="2" a="1"/>
  <c r="N18" i="2" s="1"/>
  <c r="O18" i="2" a="1"/>
  <c r="O18" i="2" s="1"/>
  <c r="P18" i="2" a="1"/>
  <c r="P18" i="2" s="1"/>
  <c r="Q18" i="2" a="1"/>
  <c r="Q18" i="2" s="1"/>
  <c r="L19" i="2" a="1"/>
  <c r="L19" i="2" s="1"/>
  <c r="M19" i="2" a="1"/>
  <c r="M19" i="2" s="1"/>
  <c r="N19" i="2" a="1"/>
  <c r="N19" i="2"/>
  <c r="O19" i="2" a="1"/>
  <c r="O19" i="2" s="1"/>
  <c r="P19" i="2" a="1"/>
  <c r="P19" i="2" s="1"/>
  <c r="Q19" i="2" a="1"/>
  <c r="Q19" i="2" s="1"/>
  <c r="N20" i="2" a="1"/>
  <c r="N20" i="2" s="1"/>
  <c r="O20" i="2" a="1"/>
  <c r="O20" i="2" s="1"/>
  <c r="P20" i="2" a="1"/>
  <c r="P20" i="2" s="1"/>
  <c r="Q20" i="2" a="1"/>
  <c r="Q20" i="2" s="1"/>
  <c r="N21" i="2" a="1"/>
  <c r="N21" i="2" s="1"/>
  <c r="O21" i="2" a="1"/>
  <c r="O21" i="2" s="1"/>
  <c r="P21" i="2" a="1"/>
  <c r="P21" i="2" s="1"/>
  <c r="Q21" i="2" a="1"/>
  <c r="Q21" i="2" s="1"/>
  <c r="M22" i="2" a="1"/>
  <c r="M22" i="2" s="1"/>
  <c r="N22" i="2" a="1"/>
  <c r="N22" i="2" s="1"/>
  <c r="O22" i="2" a="1"/>
  <c r="O22" i="2" s="1"/>
  <c r="P22" i="2" a="1"/>
  <c r="P22" i="2"/>
  <c r="Q22" i="2" a="1"/>
  <c r="Q22" i="2" s="1"/>
  <c r="M23" i="2" a="1"/>
  <c r="M23" i="2"/>
  <c r="N23" i="2" a="1"/>
  <c r="N23" i="2" s="1"/>
  <c r="O23" i="2" a="1"/>
  <c r="O23" i="2" s="1"/>
  <c r="P23" i="2" a="1"/>
  <c r="P23" i="2" s="1"/>
  <c r="Q23" i="2" a="1"/>
  <c r="Q23" i="2" s="1"/>
  <c r="M24" i="2" a="1"/>
  <c r="M24" i="2" s="1"/>
  <c r="N24" i="2" a="1"/>
  <c r="N24" i="2"/>
  <c r="O24" i="2" a="1"/>
  <c r="O24" i="2" s="1"/>
  <c r="P24" i="2" a="1"/>
  <c r="P24" i="2"/>
  <c r="Q24" i="2" a="1"/>
  <c r="Q24" i="2" s="1"/>
  <c r="M25" i="2" a="1"/>
  <c r="M25" i="2" s="1"/>
  <c r="N25" i="2" a="1"/>
  <c r="N25" i="2"/>
  <c r="O25" i="2" a="1"/>
  <c r="O25" i="2" s="1"/>
  <c r="P25" i="2" a="1"/>
  <c r="P25" i="2" s="1"/>
  <c r="Q25" i="2" a="1"/>
  <c r="Q25" i="2"/>
  <c r="L26" i="2" a="1"/>
  <c r="L26" i="2" s="1"/>
  <c r="M26" i="2" a="1"/>
  <c r="M26" i="2"/>
  <c r="N26" i="2" a="1"/>
  <c r="N26" i="2" s="1"/>
  <c r="O26" i="2" a="1"/>
  <c r="O26" i="2" s="1"/>
  <c r="P26" i="2" a="1"/>
  <c r="P26" i="2" s="1"/>
  <c r="Q26" i="2" a="1"/>
  <c r="Q26" i="2" s="1"/>
  <c r="L27" i="2" a="1"/>
  <c r="L27" i="2" s="1"/>
  <c r="M27" i="2" a="1"/>
  <c r="M27" i="2"/>
  <c r="N27" i="2" a="1"/>
  <c r="N27" i="2" s="1"/>
  <c r="O27" i="2" a="1"/>
  <c r="O27" i="2"/>
  <c r="P27" i="2" a="1"/>
  <c r="P27" i="2" s="1"/>
  <c r="Q27" i="2" a="1"/>
  <c r="Q27" i="2" s="1"/>
  <c r="L28" i="2" a="1"/>
  <c r="L28" i="2" s="1"/>
  <c r="M28" i="2" a="1"/>
  <c r="M28" i="2" s="1"/>
  <c r="N28" i="2" a="1"/>
  <c r="N28" i="2" s="1"/>
  <c r="O28" i="2" a="1"/>
  <c r="O28" i="2" s="1"/>
  <c r="P28" i="2" a="1"/>
  <c r="P28" i="2" s="1"/>
  <c r="Q28" i="2" a="1"/>
  <c r="Q28" i="2"/>
  <c r="L29" i="2" a="1"/>
  <c r="L29" i="2" s="1"/>
  <c r="M29" i="2" a="1"/>
  <c r="M29" i="2" s="1"/>
  <c r="N29" i="2" a="1"/>
  <c r="N29" i="2" s="1"/>
  <c r="O29" i="2" a="1"/>
  <c r="O29" i="2" s="1"/>
  <c r="P29" i="2" a="1"/>
  <c r="P29" i="2" s="1"/>
  <c r="Q29" i="2" a="1"/>
  <c r="Q29" i="2"/>
  <c r="L30" i="2" a="1"/>
  <c r="L30" i="2"/>
  <c r="M30" i="2" a="1"/>
  <c r="M30" i="2" s="1"/>
  <c r="N30" i="2" a="1"/>
  <c r="N30" i="2" s="1"/>
  <c r="O30" i="2" a="1"/>
  <c r="O30" i="2" s="1"/>
  <c r="P30" i="2" a="1"/>
  <c r="P30" i="2"/>
  <c r="Q30" i="2" a="1"/>
  <c r="Q30" i="2" s="1"/>
  <c r="L31" i="2" a="1"/>
  <c r="L31" i="2" s="1"/>
  <c r="M31" i="2" a="1"/>
  <c r="M31" i="2" s="1"/>
  <c r="N31" i="2" a="1"/>
  <c r="N31" i="2" s="1"/>
  <c r="O31" i="2" a="1"/>
  <c r="O31" i="2"/>
  <c r="P31" i="2" a="1"/>
  <c r="P31" i="2" s="1"/>
  <c r="Q31" i="2" a="1"/>
  <c r="Q31" i="2" s="1"/>
  <c r="L32" i="2" a="1"/>
  <c r="L32" i="2" s="1"/>
  <c r="M32" i="2" a="1"/>
  <c r="M32" i="2"/>
  <c r="N32" i="2" a="1"/>
  <c r="N32" i="2" s="1"/>
  <c r="O32" i="2" a="1"/>
  <c r="O32" i="2"/>
  <c r="P32" i="2" a="1"/>
  <c r="P32" i="2" s="1"/>
  <c r="Q32" i="2" a="1"/>
  <c r="Q32" i="2" s="1"/>
  <c r="M33" i="2" a="1"/>
  <c r="M33" i="2" s="1"/>
  <c r="N33" i="2" a="1"/>
  <c r="N33" i="2" s="1"/>
  <c r="O33" i="2" a="1"/>
  <c r="O33" i="2" s="1"/>
  <c r="P33" i="2" a="1"/>
  <c r="P33" i="2" s="1"/>
  <c r="Q33" i="2" a="1"/>
  <c r="Q33" i="2" s="1"/>
  <c r="M34" i="2" a="1"/>
  <c r="M34" i="2" s="1"/>
  <c r="N34" i="2" a="1"/>
  <c r="N34" i="2"/>
  <c r="O34" i="2" a="1"/>
  <c r="O34" i="2" s="1"/>
  <c r="P34" i="2" a="1"/>
  <c r="P34" i="2" s="1"/>
  <c r="Q34" i="2" a="1"/>
  <c r="Q34" i="2" s="1"/>
  <c r="M35" i="2" a="1"/>
  <c r="M35" i="2" s="1"/>
  <c r="N35" i="2" a="1"/>
  <c r="N35" i="2" s="1"/>
  <c r="O35" i="2" a="1"/>
  <c r="O35" i="2" s="1"/>
  <c r="P35" i="2" a="1"/>
  <c r="P35" i="2" s="1"/>
  <c r="Q35" i="2" a="1"/>
  <c r="Q35" i="2"/>
  <c r="M36" i="2" a="1"/>
  <c r="M36" i="2" s="1"/>
  <c r="N36" i="2" a="1"/>
  <c r="N36" i="2" s="1"/>
  <c r="O36" i="2" a="1"/>
  <c r="O36" i="2" s="1"/>
  <c r="P36" i="2" a="1"/>
  <c r="P36" i="2" s="1"/>
  <c r="Q36" i="2" a="1"/>
  <c r="Q36" i="2" s="1"/>
  <c r="L37" i="2" a="1"/>
  <c r="L37" i="2" s="1"/>
  <c r="M37" i="2" a="1"/>
  <c r="M37" i="2" s="1"/>
  <c r="N37" i="2" a="1"/>
  <c r="N37" i="2"/>
  <c r="O37" i="2" a="1"/>
  <c r="O37" i="2" s="1"/>
  <c r="P37" i="2" a="1"/>
  <c r="P37" i="2" s="1"/>
  <c r="Q37" i="2" a="1"/>
  <c r="Q37" i="2" s="1"/>
  <c r="L38" i="2" a="1"/>
  <c r="L38" i="2" s="1"/>
  <c r="M38" i="2" a="1"/>
  <c r="M38" i="2" s="1"/>
  <c r="N38" i="2" a="1"/>
  <c r="N38" i="2" s="1"/>
  <c r="O38" i="2" a="1"/>
  <c r="O38" i="2" s="1"/>
  <c r="P38" i="2" a="1"/>
  <c r="P38" i="2"/>
  <c r="Q38" i="2" a="1"/>
  <c r="Q38" i="2" s="1"/>
  <c r="L39" i="2" a="1"/>
  <c r="L39" i="2" s="1"/>
  <c r="M39" i="2" a="1"/>
  <c r="M39" i="2" s="1"/>
  <c r="N39" i="2" a="1"/>
  <c r="N39" i="2" s="1"/>
  <c r="O39" i="2" a="1"/>
  <c r="O39" i="2" s="1"/>
  <c r="P39" i="2" a="1"/>
  <c r="P39" i="2" s="1"/>
  <c r="Q39" i="2" a="1"/>
  <c r="Q39" i="2" s="1"/>
  <c r="L40" i="2" a="1"/>
  <c r="L40" i="2" s="1"/>
  <c r="M40" i="2" a="1"/>
  <c r="M40" i="2" s="1"/>
  <c r="N40" i="2" a="1"/>
  <c r="N40" i="2" s="1"/>
  <c r="O40" i="2" a="1"/>
  <c r="O40" i="2"/>
  <c r="P40" i="2" a="1"/>
  <c r="P40" i="2" s="1"/>
  <c r="Q40" i="2" a="1"/>
  <c r="Q40" i="2" s="1"/>
  <c r="L41" i="2" a="1"/>
  <c r="L41" i="2" s="1"/>
  <c r="M41" i="2" a="1"/>
  <c r="M41" i="2" s="1"/>
  <c r="N41" i="2" a="1"/>
  <c r="N41" i="2"/>
  <c r="O41" i="2" a="1"/>
  <c r="O41" i="2" s="1"/>
  <c r="P41" i="2" a="1"/>
  <c r="P41" i="2" s="1"/>
  <c r="Q41" i="2" a="1"/>
  <c r="Q41" i="2" s="1"/>
  <c r="L42" i="2" a="1"/>
  <c r="L42" i="2" s="1"/>
  <c r="M42" i="2" a="1"/>
  <c r="M42" i="2" s="1"/>
  <c r="N42" i="2" a="1"/>
  <c r="N42" i="2" s="1"/>
  <c r="O42" i="2" a="1"/>
  <c r="O42" i="2" s="1"/>
  <c r="P42" i="2" a="1"/>
  <c r="P42" i="2" s="1"/>
  <c r="Q42" i="2" a="1"/>
  <c r="Q42" i="2" s="1"/>
  <c r="L43" i="2" a="1"/>
  <c r="L43" i="2" s="1"/>
  <c r="M43" i="2" a="1"/>
  <c r="M43" i="2" s="1"/>
  <c r="N43" i="2" a="1"/>
  <c r="N43" i="2" s="1"/>
  <c r="O43" i="2" a="1"/>
  <c r="O43" i="2" s="1"/>
  <c r="P43" i="2" a="1"/>
  <c r="P43" i="2" s="1"/>
  <c r="Q43" i="2" a="1"/>
  <c r="Q43" i="2" s="1"/>
  <c r="L44" i="2" a="1"/>
  <c r="L44" i="2"/>
  <c r="M44" i="2" a="1"/>
  <c r="M44" i="2" s="1"/>
  <c r="N44" i="2" a="1"/>
  <c r="N44" i="2" s="1"/>
  <c r="O44" i="2" a="1"/>
  <c r="O44" i="2" s="1"/>
  <c r="P44" i="2" a="1"/>
  <c r="P44" i="2" s="1"/>
  <c r="Q44" i="2" a="1"/>
  <c r="Q44" i="2" s="1"/>
  <c r="L45" i="2" a="1"/>
  <c r="L45" i="2" s="1"/>
  <c r="M45" i="2" a="1"/>
  <c r="M45" i="2"/>
  <c r="N45" i="2" a="1"/>
  <c r="N45" i="2" s="1"/>
  <c r="O45" i="2" a="1"/>
  <c r="O45" i="2"/>
  <c r="P45" i="2" a="1"/>
  <c r="P45" i="2" s="1"/>
  <c r="Q45" i="2" a="1"/>
  <c r="Q45" i="2"/>
  <c r="L46" i="2" a="1"/>
  <c r="L46" i="2" s="1"/>
  <c r="M46" i="2" a="1"/>
  <c r="M46" i="2" s="1"/>
  <c r="N46" i="2" a="1"/>
  <c r="N46" i="2" s="1"/>
  <c r="O46" i="2" a="1"/>
  <c r="O46" i="2"/>
  <c r="P46" i="2" a="1"/>
  <c r="P46" i="2" s="1"/>
  <c r="Q46" i="2" a="1"/>
  <c r="Q46" i="2"/>
  <c r="M47" i="2" a="1"/>
  <c r="M47" i="2" s="1"/>
  <c r="N47" i="2" a="1"/>
  <c r="N47" i="2" s="1"/>
  <c r="O47" i="2" a="1"/>
  <c r="O47" i="2"/>
  <c r="P47" i="2" a="1"/>
  <c r="P47" i="2" s="1"/>
  <c r="Q47" i="2" a="1"/>
  <c r="Q47" i="2" s="1"/>
  <c r="M48" i="2" a="1"/>
  <c r="M48" i="2"/>
  <c r="N48" i="2" a="1"/>
  <c r="N48" i="2" s="1"/>
  <c r="O48" i="2" a="1"/>
  <c r="O48" i="2"/>
  <c r="P48" i="2" a="1"/>
  <c r="P48" i="2" s="1"/>
  <c r="Q48" i="2" a="1"/>
  <c r="Q48" i="2" s="1"/>
  <c r="M49" i="2" a="1"/>
  <c r="M49" i="2" s="1"/>
  <c r="N49" i="2" a="1"/>
  <c r="N49" i="2" s="1"/>
  <c r="O49" i="2" a="1"/>
  <c r="O49" i="2" s="1"/>
  <c r="P49" i="2" a="1"/>
  <c r="P49" i="2"/>
  <c r="Q49" i="2" a="1"/>
  <c r="Q49" i="2" s="1"/>
  <c r="M50" i="2" a="1"/>
  <c r="M50" i="2"/>
  <c r="N50" i="2" a="1"/>
  <c r="N50" i="2" s="1"/>
  <c r="O50" i="2" a="1"/>
  <c r="O50" i="2" s="1"/>
  <c r="P50" i="2" a="1"/>
  <c r="P50" i="2" s="1"/>
  <c r="Q50" i="2" a="1"/>
  <c r="Q50" i="2" s="1"/>
  <c r="L51" i="2" a="1"/>
  <c r="L51" i="2" s="1"/>
  <c r="M51" i="2" a="1"/>
  <c r="M51" i="2"/>
  <c r="N51" i="2" a="1"/>
  <c r="N51" i="2" s="1"/>
  <c r="O51" i="2" a="1"/>
  <c r="O51" i="2" s="1"/>
  <c r="P51" i="2" a="1"/>
  <c r="P51" i="2" s="1"/>
  <c r="Q51" i="2" a="1"/>
  <c r="Q51" i="2" s="1"/>
  <c r="L52" i="2" a="1"/>
  <c r="L52" i="2" s="1"/>
  <c r="M52" i="2" a="1"/>
  <c r="M52" i="2" s="1"/>
  <c r="N52" i="2" a="1"/>
  <c r="N52" i="2" s="1"/>
  <c r="O52" i="2" a="1"/>
  <c r="O52" i="2" s="1"/>
  <c r="P52" i="2" a="1"/>
  <c r="P52" i="2" s="1"/>
  <c r="Q52" i="2" a="1"/>
  <c r="Q52" i="2"/>
  <c r="L53" i="2" a="1"/>
  <c r="L53" i="2" s="1"/>
  <c r="M53" i="2" a="1"/>
  <c r="M53" i="2" s="1"/>
  <c r="N53" i="2" a="1"/>
  <c r="N53" i="2" s="1"/>
  <c r="O53" i="2" a="1"/>
  <c r="O53" i="2" s="1"/>
  <c r="P53" i="2" a="1"/>
  <c r="P53" i="2" s="1"/>
  <c r="Q53" i="2" a="1"/>
  <c r="Q53" i="2"/>
  <c r="N54" i="2" a="1"/>
  <c r="N54" i="2" s="1"/>
  <c r="O54" i="2" a="1"/>
  <c r="O54" i="2" s="1"/>
  <c r="P54" i="2" a="1"/>
  <c r="P54" i="2" s="1"/>
  <c r="Q54" i="2" a="1"/>
  <c r="Q54" i="2" s="1"/>
  <c r="L55" i="2" a="1"/>
  <c r="L55" i="2" s="1"/>
  <c r="M55" i="2" a="1"/>
  <c r="M55" i="2"/>
  <c r="N55" i="2" a="1"/>
  <c r="N55" i="2" s="1"/>
  <c r="O55" i="2" a="1"/>
  <c r="O55" i="2" s="1"/>
  <c r="P55" i="2" a="1"/>
  <c r="P55" i="2" s="1"/>
  <c r="Q55" i="2" a="1"/>
  <c r="Q55" i="2"/>
  <c r="L56" i="2" a="1"/>
  <c r="L56" i="2" s="1"/>
  <c r="M56" i="2" a="1"/>
  <c r="M56" i="2" s="1"/>
  <c r="N56" i="2" a="1"/>
  <c r="N56" i="2" s="1"/>
  <c r="O56" i="2" a="1"/>
  <c r="O56" i="2" s="1"/>
  <c r="P56" i="2" a="1"/>
  <c r="P56" i="2" s="1"/>
  <c r="Q56" i="2" a="1"/>
  <c r="Q56" i="2" s="1"/>
  <c r="L57" i="2" a="1"/>
  <c r="L57" i="2"/>
  <c r="M57" i="2" a="1"/>
  <c r="M57" i="2" s="1"/>
  <c r="N57" i="2" a="1"/>
  <c r="N57" i="2" s="1"/>
  <c r="O57" i="2" a="1"/>
  <c r="O57" i="2" s="1"/>
  <c r="P57" i="2" a="1"/>
  <c r="P57" i="2" s="1"/>
  <c r="Q57" i="2" a="1"/>
  <c r="Q57" i="2" s="1"/>
  <c r="L58" i="2" a="1"/>
  <c r="L58" i="2" s="1"/>
  <c r="M58" i="2" a="1"/>
  <c r="M58" i="2" s="1"/>
  <c r="N58" i="2" a="1"/>
  <c r="N58" i="2"/>
  <c r="O58" i="2" a="1"/>
  <c r="O58" i="2" s="1"/>
  <c r="P58" i="2" a="1"/>
  <c r="P58" i="2" s="1"/>
  <c r="Q58" i="2" a="1"/>
  <c r="Q58" i="2" s="1"/>
  <c r="L59" i="2" a="1"/>
  <c r="L59" i="2" s="1"/>
  <c r="M59" i="2" a="1"/>
  <c r="M59" i="2" s="1"/>
  <c r="N59" i="2" a="1"/>
  <c r="N59" i="2" s="1"/>
  <c r="O59" i="2" a="1"/>
  <c r="O59" i="2" s="1"/>
  <c r="P59" i="2" a="1"/>
  <c r="P59" i="2"/>
  <c r="Q59" i="2" a="1"/>
  <c r="Q59" i="2" s="1"/>
  <c r="L60" i="2" a="1"/>
  <c r="L60" i="2" s="1"/>
  <c r="M60" i="2" a="1"/>
  <c r="M60" i="2" s="1"/>
  <c r="N60" i="2" a="1"/>
  <c r="N60" i="2" s="1"/>
  <c r="O60" i="2" a="1"/>
  <c r="O60" i="2"/>
  <c r="P60" i="2" a="1"/>
  <c r="P60" i="2" s="1"/>
  <c r="Q60" i="2" a="1"/>
  <c r="Q60" i="2" s="1"/>
  <c r="M61" i="2" a="1"/>
  <c r="M61" i="2" s="1"/>
  <c r="N61" i="2" a="1"/>
  <c r="N61" i="2" s="1"/>
  <c r="O61" i="2" a="1"/>
  <c r="O61" i="2" s="1"/>
  <c r="P61" i="2" a="1"/>
  <c r="P61" i="2" s="1"/>
  <c r="Q61" i="2" a="1"/>
  <c r="Q61" i="2" s="1"/>
  <c r="M62" i="2" a="1"/>
  <c r="M62" i="2" s="1"/>
  <c r="N62" i="2" a="1"/>
  <c r="N62" i="2" s="1"/>
  <c r="O62" i="2" a="1"/>
  <c r="O62" i="2" s="1"/>
  <c r="P62" i="2" a="1"/>
  <c r="P62" i="2"/>
  <c r="Q62" i="2" a="1"/>
  <c r="Q62" i="2" s="1"/>
  <c r="O63" i="2" a="1"/>
  <c r="O63" i="2" s="1"/>
  <c r="P63" i="2" a="1"/>
  <c r="P63" i="2" s="1"/>
  <c r="Q63" i="2" a="1"/>
  <c r="Q63" i="2" s="1"/>
  <c r="N64" i="2" a="1"/>
  <c r="N64" i="2" s="1"/>
  <c r="O64" i="2" a="1"/>
  <c r="O64" i="2" s="1"/>
  <c r="P64" i="2" a="1"/>
  <c r="P64" i="2"/>
  <c r="Q64" i="2" a="1"/>
  <c r="Q64" i="2" s="1"/>
  <c r="N65" i="2" a="1"/>
  <c r="N65" i="2" s="1"/>
  <c r="O65" i="2" a="1"/>
  <c r="O65" i="2" s="1"/>
  <c r="P65" i="2" a="1"/>
  <c r="P65" i="2" s="1"/>
  <c r="Q65" i="2" a="1"/>
  <c r="Q65" i="2"/>
  <c r="L66" i="2" a="1"/>
  <c r="L66" i="2" s="1"/>
  <c r="M66" i="2" a="1"/>
  <c r="M66" i="2" s="1"/>
  <c r="N66" i="2" a="1"/>
  <c r="N66" i="2" s="1"/>
  <c r="O66" i="2" a="1"/>
  <c r="O66" i="2"/>
  <c r="P66" i="2" a="1"/>
  <c r="P66" i="2" s="1"/>
  <c r="Q66" i="2" a="1"/>
  <c r="Q66" i="2" s="1"/>
  <c r="L67" i="2" a="1"/>
  <c r="L67" i="2" s="1"/>
  <c r="M67" i="2" a="1"/>
  <c r="M67" i="2" s="1"/>
  <c r="N67" i="2" a="1"/>
  <c r="N67" i="2" s="1"/>
  <c r="O67" i="2" a="1"/>
  <c r="O67" i="2" s="1"/>
  <c r="P67" i="2" a="1"/>
  <c r="P67" i="2" s="1"/>
  <c r="Q67" i="2" a="1"/>
  <c r="Q67" i="2" s="1"/>
  <c r="L68" i="2" a="1"/>
  <c r="L68" i="2"/>
  <c r="M68" i="2" a="1"/>
  <c r="M68" i="2" s="1"/>
  <c r="N68" i="2" a="1"/>
  <c r="N68" i="2" s="1"/>
  <c r="O68" i="2" a="1"/>
  <c r="O68" i="2" s="1"/>
  <c r="P68" i="2" a="1"/>
  <c r="P68" i="2" s="1"/>
  <c r="Q68" i="2" a="1"/>
  <c r="Q68" i="2" s="1"/>
  <c r="L69" i="2" a="1"/>
  <c r="L69" i="2" s="1"/>
  <c r="M69" i="2" a="1"/>
  <c r="M69" i="2" s="1"/>
  <c r="N69" i="2" a="1"/>
  <c r="N69" i="2" s="1"/>
  <c r="O69" i="2" a="1"/>
  <c r="O69" i="2" s="1"/>
  <c r="P69" i="2" a="1"/>
  <c r="P69" i="2" s="1"/>
  <c r="Q69" i="2" a="1"/>
  <c r="Q69" i="2" s="1"/>
  <c r="L70" i="2" a="1"/>
  <c r="L70" i="2" s="1"/>
  <c r="M70" i="2" a="1"/>
  <c r="M70" i="2" s="1"/>
  <c r="N70" i="2" a="1"/>
  <c r="N70" i="2"/>
  <c r="O70" i="2" a="1"/>
  <c r="O70" i="2" s="1"/>
  <c r="P70" i="2" a="1"/>
  <c r="P70" i="2" s="1"/>
  <c r="Q70" i="2" a="1"/>
  <c r="Q70" i="2" s="1"/>
  <c r="L71" i="2" a="1"/>
  <c r="L71" i="2" s="1"/>
  <c r="M71" i="2" a="1"/>
  <c r="M71" i="2"/>
  <c r="N71" i="2" a="1"/>
  <c r="N71" i="2" s="1"/>
  <c r="O71" i="2" a="1"/>
  <c r="O71" i="2" s="1"/>
  <c r="P71" i="2" a="1"/>
  <c r="P71" i="2" s="1"/>
  <c r="Q71" i="2" a="1"/>
  <c r="Q71" i="2" s="1"/>
  <c r="M72" i="2" a="1"/>
  <c r="M72" i="2"/>
  <c r="N72" i="2" a="1"/>
  <c r="N72" i="2" s="1"/>
  <c r="O72" i="2" a="1"/>
  <c r="O72" i="2" s="1"/>
  <c r="P72" i="2" a="1"/>
  <c r="P72" i="2"/>
  <c r="Q72" i="2" a="1"/>
  <c r="Q72" i="2" s="1"/>
  <c r="O73" i="2" a="1"/>
  <c r="O73" i="2"/>
  <c r="P73" i="2" a="1"/>
  <c r="P73" i="2" s="1"/>
  <c r="Q73" i="2" a="1"/>
  <c r="Q73" i="2" s="1"/>
  <c r="O74" i="2" a="1"/>
  <c r="O74" i="2"/>
  <c r="P74" i="2" a="1"/>
  <c r="P74" i="2" s="1"/>
  <c r="Q74" i="2" a="1"/>
  <c r="Q74" i="2" s="1"/>
  <c r="M75" i="2" a="1"/>
  <c r="M75" i="2" s="1"/>
  <c r="N75" i="2" a="1"/>
  <c r="N75" i="2" s="1"/>
  <c r="O75" i="2" a="1"/>
  <c r="O75" i="2" s="1"/>
  <c r="P75" i="2" a="1"/>
  <c r="P75" i="2" s="1"/>
  <c r="Q75" i="2" a="1"/>
  <c r="Q75" i="2" s="1"/>
  <c r="L76" i="2" a="1"/>
  <c r="L76" i="2"/>
  <c r="M76" i="2" a="1"/>
  <c r="M76" i="2" s="1"/>
  <c r="N76" i="2" a="1"/>
  <c r="N76" i="2" s="1"/>
  <c r="O76" i="2" a="1"/>
  <c r="O76" i="2" s="1"/>
  <c r="P76" i="2" a="1"/>
  <c r="P76" i="2" s="1"/>
  <c r="Q76" i="2" a="1"/>
  <c r="Q76" i="2" s="1"/>
  <c r="L77" i="2" a="1"/>
  <c r="L77" i="2" s="1"/>
  <c r="M77" i="2" a="1"/>
  <c r="M77" i="2" s="1"/>
  <c r="N77" i="2" a="1"/>
  <c r="N77" i="2"/>
  <c r="O77" i="2" a="1"/>
  <c r="O77" i="2" s="1"/>
  <c r="P77" i="2" a="1"/>
  <c r="P77" i="2" s="1"/>
  <c r="Q77" i="2" a="1"/>
  <c r="Q77" i="2" s="1"/>
  <c r="K78" i="2" a="1"/>
  <c r="K78" i="2"/>
  <c r="L78" i="2" a="1"/>
  <c r="L78" i="2" s="1"/>
  <c r="M78" i="2" a="1"/>
  <c r="M78" i="2" s="1"/>
  <c r="N78" i="2" a="1"/>
  <c r="N78" i="2"/>
  <c r="O78" i="2" a="1"/>
  <c r="O78" i="2" s="1"/>
  <c r="P78" i="2" a="1"/>
  <c r="P78" i="2" s="1"/>
  <c r="Q78" i="2" a="1"/>
  <c r="Q78" i="2" s="1"/>
  <c r="L79" i="2" a="1"/>
  <c r="L79" i="2" s="1"/>
  <c r="M79" i="2" a="1"/>
  <c r="M79" i="2" s="1"/>
  <c r="N79" i="2" a="1"/>
  <c r="N79" i="2" s="1"/>
  <c r="O79" i="2" a="1"/>
  <c r="O79" i="2" s="1"/>
  <c r="P79" i="2" a="1"/>
  <c r="P79" i="2"/>
  <c r="Q79" i="2" a="1"/>
  <c r="Q79" i="2" s="1"/>
  <c r="M80" i="2" a="1"/>
  <c r="M80" i="2"/>
  <c r="N80" i="2" a="1"/>
  <c r="N80" i="2" s="1"/>
  <c r="O80" i="2" a="1"/>
  <c r="O80" i="2" s="1"/>
  <c r="P80" i="2" a="1"/>
  <c r="P80" i="2" s="1"/>
  <c r="Q80" i="2" a="1"/>
  <c r="Q80" i="2" s="1"/>
  <c r="L81" i="2" a="1"/>
  <c r="L81" i="2" s="1"/>
  <c r="M81" i="2" a="1"/>
  <c r="M81" i="2"/>
  <c r="N81" i="2" a="1"/>
  <c r="N81" i="2" s="1"/>
  <c r="O81" i="2" a="1"/>
  <c r="O81" i="2"/>
  <c r="P81" i="2" a="1"/>
  <c r="P81" i="2" s="1"/>
  <c r="Q81" i="2" a="1"/>
  <c r="Q81" i="2"/>
  <c r="M82" i="2" a="1"/>
  <c r="M82" i="2" s="1"/>
  <c r="N82" i="2" a="1"/>
  <c r="N82" i="2" s="1"/>
  <c r="O82" i="2" a="1"/>
  <c r="O82" i="2" s="1"/>
  <c r="P82" i="2" a="1"/>
  <c r="P82" i="2"/>
  <c r="Q82" i="2" a="1"/>
  <c r="Q82" i="2" s="1"/>
  <c r="M83" i="2" a="1"/>
  <c r="M83" i="2"/>
  <c r="N83" i="2" a="1"/>
  <c r="N83" i="2" s="1"/>
  <c r="O83" i="2" a="1"/>
  <c r="O83" i="2" s="1"/>
  <c r="P83" i="2" a="1"/>
  <c r="P83" i="2" s="1"/>
  <c r="Q83" i="2" a="1"/>
  <c r="Q83" i="2" s="1"/>
  <c r="M84" i="2" a="1"/>
  <c r="M84" i="2" s="1"/>
  <c r="N84" i="2" a="1"/>
  <c r="N84" i="2" s="1"/>
  <c r="O84" i="2" a="1"/>
  <c r="O84" i="2" s="1"/>
  <c r="P84" i="2" a="1"/>
  <c r="P84" i="2" s="1"/>
  <c r="Q84" i="2" a="1"/>
  <c r="Q84" i="2" s="1"/>
  <c r="M85" i="2" a="1"/>
  <c r="M85" i="2"/>
  <c r="N85" i="2" a="1"/>
  <c r="N85" i="2" s="1"/>
  <c r="O85" i="2" a="1"/>
  <c r="O85" i="2" s="1"/>
  <c r="P85" i="2" a="1"/>
  <c r="P85" i="2" s="1"/>
  <c r="Q85" i="2" a="1"/>
  <c r="Q85" i="2" s="1"/>
  <c r="M86" i="2" a="1"/>
  <c r="M86" i="2"/>
  <c r="N86" i="2" a="1"/>
  <c r="N86" i="2" s="1"/>
  <c r="O86" i="2" a="1"/>
  <c r="O86" i="2" s="1"/>
  <c r="P86" i="2" a="1"/>
  <c r="P86" i="2" s="1"/>
  <c r="Q86" i="2" a="1"/>
  <c r="Q86" i="2" s="1"/>
  <c r="M87" i="2" a="1"/>
  <c r="M87" i="2" s="1"/>
  <c r="N87" i="2" a="1"/>
  <c r="N87" i="2" s="1"/>
  <c r="O87" i="2" a="1"/>
  <c r="O87" i="2" s="1"/>
  <c r="P87" i="2" a="1"/>
  <c r="P87" i="2"/>
  <c r="Q87" i="2" a="1"/>
  <c r="Q87" i="2" s="1"/>
  <c r="L88" i="2" a="1"/>
  <c r="L88" i="2" s="1"/>
  <c r="M88" i="2" a="1"/>
  <c r="M88" i="2" s="1"/>
  <c r="N88" i="2" a="1"/>
  <c r="N88" i="2" s="1"/>
  <c r="O88" i="2" a="1"/>
  <c r="O88" i="2" s="1"/>
  <c r="P88" i="2" a="1"/>
  <c r="P88" i="2" s="1"/>
  <c r="Q88" i="2" a="1"/>
  <c r="Q88" i="2" s="1"/>
  <c r="L89" i="2" a="1"/>
  <c r="L89" i="2"/>
  <c r="M89" i="2" a="1"/>
  <c r="M89" i="2" s="1"/>
  <c r="N89" i="2" a="1"/>
  <c r="N89" i="2" s="1"/>
  <c r="O89" i="2" a="1"/>
  <c r="O89" i="2" s="1"/>
  <c r="P89" i="2" a="1"/>
  <c r="P89" i="2"/>
  <c r="Q89" i="2" a="1"/>
  <c r="Q89" i="2" s="1"/>
  <c r="L90" i="2" a="1"/>
  <c r="L90" i="2" s="1"/>
  <c r="M90" i="2" a="1"/>
  <c r="M90" i="2" s="1"/>
  <c r="N90" i="2" a="1"/>
  <c r="N90" i="2" s="1"/>
  <c r="O90" i="2" a="1"/>
  <c r="O90" i="2"/>
  <c r="P90" i="2" a="1"/>
  <c r="P90" i="2" s="1"/>
  <c r="Q90" i="2" a="1"/>
  <c r="Q90" i="2" s="1"/>
  <c r="L91" i="2" a="1"/>
  <c r="L91" i="2" s="1"/>
  <c r="M91" i="2" a="1"/>
  <c r="M91" i="2" s="1"/>
  <c r="N91" i="2" a="1"/>
  <c r="N91" i="2" s="1"/>
  <c r="O91" i="2" a="1"/>
  <c r="O91" i="2"/>
  <c r="P91" i="2" a="1"/>
  <c r="P91" i="2" s="1"/>
  <c r="Q91" i="2" a="1"/>
  <c r="Q91" i="2"/>
  <c r="M92" i="2" a="1"/>
  <c r="M92" i="2" s="1"/>
  <c r="N92" i="2" a="1"/>
  <c r="N92" i="2"/>
  <c r="O92" i="2" a="1"/>
  <c r="O92" i="2" s="1"/>
  <c r="P92" i="2" a="1"/>
  <c r="P92" i="2" s="1"/>
  <c r="Q92" i="2" a="1"/>
  <c r="Q92" i="2" s="1"/>
  <c r="O93" i="2" a="1"/>
  <c r="O93" i="2"/>
  <c r="P93" i="2" a="1"/>
  <c r="P93" i="2" s="1"/>
  <c r="Q93" i="2" a="1"/>
  <c r="Q93" i="2"/>
  <c r="P94" i="2" a="1"/>
  <c r="P94" i="2" s="1"/>
  <c r="Q94" i="2" a="1"/>
  <c r="Q94" i="2" s="1"/>
  <c r="L95" i="2" a="1"/>
  <c r="L95" i="2" s="1"/>
  <c r="M95" i="2" a="1"/>
  <c r="M95" i="2" s="1"/>
  <c r="N95" i="2" a="1"/>
  <c r="N95" i="2" s="1"/>
  <c r="O95" i="2" a="1"/>
  <c r="O95" i="2"/>
  <c r="P95" i="2" a="1"/>
  <c r="P95" i="2" s="1"/>
  <c r="Q95" i="2" a="1"/>
  <c r="Q95" i="2"/>
  <c r="L96" i="2" a="1"/>
  <c r="L96" i="2" s="1"/>
  <c r="M96" i="2" a="1"/>
  <c r="M96" i="2"/>
  <c r="N96" i="2" a="1"/>
  <c r="N96" i="2"/>
  <c r="O96" i="2" a="1"/>
  <c r="O96" i="2" s="1"/>
  <c r="P96" i="2" a="1"/>
  <c r="P96" i="2" s="1"/>
  <c r="Q96" i="2" a="1"/>
  <c r="Q96" i="2" s="1"/>
  <c r="L97" i="2" a="1"/>
  <c r="L97" i="2"/>
  <c r="M97" i="2" a="1"/>
  <c r="M97" i="2" s="1"/>
  <c r="N97" i="2" a="1"/>
  <c r="N97" i="2" s="1"/>
  <c r="O97" i="2" a="1"/>
  <c r="O97" i="2"/>
  <c r="P97" i="2" a="1"/>
  <c r="P97" i="2" s="1"/>
  <c r="Q97" i="2" a="1"/>
  <c r="Q97" i="2"/>
  <c r="L98" i="2" a="1"/>
  <c r="L98" i="2" s="1"/>
  <c r="M98" i="2" a="1"/>
  <c r="M98" i="2" s="1"/>
  <c r="N98" i="2" a="1"/>
  <c r="N98" i="2"/>
  <c r="O98" i="2" a="1"/>
  <c r="O98" i="2" s="1"/>
  <c r="P98" i="2" a="1"/>
  <c r="P98" i="2" s="1"/>
  <c r="Q98" i="2" a="1"/>
  <c r="Q98" i="2" s="1"/>
  <c r="L99" i="2" a="1"/>
  <c r="L99" i="2" s="1"/>
  <c r="M99" i="2" a="1"/>
  <c r="M99" i="2" s="1"/>
  <c r="N99" i="2" a="1"/>
  <c r="N99" i="2" s="1"/>
  <c r="O99" i="2" a="1"/>
  <c r="O99" i="2" s="1"/>
  <c r="P99" i="2" a="1"/>
  <c r="P99" i="2"/>
  <c r="Q99" i="2" a="1"/>
  <c r="Q99" i="2" s="1"/>
  <c r="L100" i="2" a="1"/>
  <c r="L100" i="2" s="1"/>
  <c r="M100" i="2" a="1"/>
  <c r="M100" i="2" s="1"/>
  <c r="N100" i="2" a="1"/>
  <c r="N100" i="2" s="1"/>
  <c r="O100" i="2" a="1"/>
  <c r="O100" i="2" s="1"/>
  <c r="P100" i="2" a="1"/>
  <c r="P100" i="2" s="1"/>
  <c r="Q100" i="2" a="1"/>
  <c r="Q100" i="2" s="1"/>
  <c r="L101" i="2" a="1"/>
  <c r="L101" i="2"/>
  <c r="M101" i="2" a="1"/>
  <c r="M101" i="2" s="1"/>
  <c r="N101" i="2" a="1"/>
  <c r="N101" i="2" s="1"/>
  <c r="O101" i="2" a="1"/>
  <c r="O101" i="2" s="1"/>
  <c r="P101" i="2" a="1"/>
  <c r="P101" i="2" s="1"/>
  <c r="Q101" i="2" a="1"/>
  <c r="Q101" i="2" s="1"/>
  <c r="K102" i="2" a="1"/>
  <c r="K102" i="2"/>
  <c r="L102" i="2" a="1"/>
  <c r="L102" i="2"/>
  <c r="M102" i="2" a="1"/>
  <c r="M102" i="2" s="1"/>
  <c r="N102" i="2" a="1"/>
  <c r="N102" i="2" s="1"/>
  <c r="O102" i="2" a="1"/>
  <c r="O102" i="2" s="1"/>
  <c r="P102" i="2" a="1"/>
  <c r="P102" i="2" s="1"/>
  <c r="Q102" i="2" a="1"/>
  <c r="Q102" i="2"/>
  <c r="K103" i="2" a="1"/>
  <c r="K103" i="2"/>
  <c r="L103" i="2" a="1"/>
  <c r="L103" i="2" s="1"/>
  <c r="M103" i="2" a="1"/>
  <c r="M103" i="2" s="1"/>
  <c r="N103" i="2" a="1"/>
  <c r="N103" i="2" s="1"/>
  <c r="O103" i="2" a="1"/>
  <c r="O103" i="2" s="1"/>
  <c r="P103" i="2" a="1"/>
  <c r="P103" i="2" s="1"/>
  <c r="Q103" i="2" a="1"/>
  <c r="Q103" i="2" s="1"/>
  <c r="K104" i="2" a="1"/>
  <c r="K104" i="2"/>
  <c r="L104" i="2" a="1"/>
  <c r="L104" i="2" s="1"/>
  <c r="M104" i="2" a="1"/>
  <c r="M104" i="2" s="1"/>
  <c r="N104" i="2" a="1"/>
  <c r="N104" i="2" s="1"/>
  <c r="O104" i="2" a="1"/>
  <c r="O104" i="2" s="1"/>
  <c r="P104" i="2" a="1"/>
  <c r="P104" i="2" s="1"/>
  <c r="Q104" i="2" a="1"/>
  <c r="Q104" i="2" s="1"/>
  <c r="K105" i="2" a="1"/>
  <c r="K105" i="2"/>
  <c r="L105" i="2" a="1"/>
  <c r="L105" i="2"/>
  <c r="M105" i="2" a="1"/>
  <c r="M105" i="2" s="1"/>
  <c r="N105" i="2" a="1"/>
  <c r="N105" i="2" s="1"/>
  <c r="O105" i="2" a="1"/>
  <c r="O105" i="2" s="1"/>
  <c r="P105" i="2" a="1"/>
  <c r="P105" i="2" s="1"/>
  <c r="Q105" i="2" a="1"/>
  <c r="Q105" i="2" s="1"/>
  <c r="K106" i="2" a="1"/>
  <c r="K106" i="2"/>
  <c r="L106" i="2" a="1"/>
  <c r="L106" i="2" s="1"/>
  <c r="M106" i="2" a="1"/>
  <c r="M106" i="2" s="1"/>
  <c r="N106" i="2" a="1"/>
  <c r="N106" i="2" s="1"/>
  <c r="O106" i="2" a="1"/>
  <c r="O106" i="2" s="1"/>
  <c r="P106" i="2" a="1"/>
  <c r="P106" i="2"/>
  <c r="Q106" i="2" a="1"/>
  <c r="Q106" i="2" s="1"/>
  <c r="K107" i="2" a="1"/>
  <c r="K107" i="2"/>
  <c r="L107" i="2" a="1"/>
  <c r="L107" i="2" s="1"/>
  <c r="M107" i="2" a="1"/>
  <c r="M107" i="2"/>
  <c r="N107" i="2" a="1"/>
  <c r="N107" i="2" s="1"/>
  <c r="O107" i="2" a="1"/>
  <c r="O107" i="2" s="1"/>
  <c r="P107" i="2" a="1"/>
  <c r="P107" i="2" s="1"/>
  <c r="Q107" i="2" a="1"/>
  <c r="Q107" i="2"/>
  <c r="K108" i="2" a="1"/>
  <c r="K108" i="2"/>
  <c r="L108" i="2" a="1"/>
  <c r="L108" i="2"/>
  <c r="M108" i="2" a="1"/>
  <c r="M108" i="2" s="1"/>
  <c r="N108" i="2" a="1"/>
  <c r="N108" i="2" s="1"/>
  <c r="O108" i="2" a="1"/>
  <c r="O108" i="2" s="1"/>
  <c r="P108" i="2" a="1"/>
  <c r="P108" i="2" s="1"/>
  <c r="Q108" i="2" a="1"/>
  <c r="Q108" i="2" s="1"/>
  <c r="K109" i="2" a="1"/>
  <c r="K109" i="2"/>
  <c r="L109" i="2" a="1"/>
  <c r="L109" i="2" s="1"/>
  <c r="M109" i="2" a="1"/>
  <c r="M109" i="2"/>
  <c r="N109" i="2" a="1"/>
  <c r="N109" i="2" s="1"/>
  <c r="O109" i="2" a="1"/>
  <c r="O109" i="2"/>
  <c r="P109" i="2" a="1"/>
  <c r="P109" i="2" s="1"/>
  <c r="Q109" i="2" a="1"/>
  <c r="Q109" i="2" s="1"/>
  <c r="K110" i="2" a="1"/>
  <c r="K110" i="2"/>
  <c r="L110" i="2" a="1"/>
  <c r="L110" i="2" s="1"/>
  <c r="M110" i="2" a="1"/>
  <c r="M110" i="2" s="1"/>
  <c r="N110" i="2" a="1"/>
  <c r="N110" i="2" s="1"/>
  <c r="O110" i="2" a="1"/>
  <c r="O110" i="2" s="1"/>
  <c r="P110" i="2" a="1"/>
  <c r="P110" i="2" s="1"/>
  <c r="Q110" i="2" a="1"/>
  <c r="Q110" i="2"/>
  <c r="N3" i="2" a="1"/>
  <c r="N3" i="2" s="1"/>
  <c r="O3" i="2" a="1"/>
  <c r="O3" i="2" s="1"/>
  <c r="P3" i="2" a="1"/>
  <c r="P3" i="2"/>
  <c r="Q3" i="2" a="1"/>
  <c r="Q3" i="2" s="1"/>
  <c r="E3" i="2" a="1"/>
  <c r="E3" i="2" s="1"/>
  <c r="F3" i="2" a="1"/>
  <c r="F3" i="2" s="1"/>
  <c r="G3" i="2" a="1"/>
  <c r="G3" i="2" s="1"/>
  <c r="H3" i="2" a="1"/>
  <c r="H3" i="2"/>
  <c r="I3" i="2" a="1"/>
  <c r="I3" i="2" s="1"/>
  <c r="J3" i="2" a="1"/>
  <c r="J3" i="2" s="1"/>
  <c r="D4" i="2" a="1"/>
  <c r="D4" i="2"/>
  <c r="E4" i="2" a="1"/>
  <c r="E4" i="2" s="1"/>
  <c r="F4" i="2" a="1"/>
  <c r="F4" i="2" s="1"/>
  <c r="G4" i="2" a="1"/>
  <c r="G4" i="2" s="1"/>
  <c r="H4" i="2" a="1"/>
  <c r="H4" i="2" s="1"/>
  <c r="I4" i="2" a="1"/>
  <c r="I4" i="2"/>
  <c r="J4" i="2" a="1"/>
  <c r="J4" i="2" s="1"/>
  <c r="D5" i="2" a="1"/>
  <c r="D5" i="2"/>
  <c r="E5" i="2" a="1"/>
  <c r="E5" i="2" s="1"/>
  <c r="F5" i="2" a="1"/>
  <c r="F5" i="2"/>
  <c r="G5" i="2" a="1"/>
  <c r="G5" i="2" s="1"/>
  <c r="H5" i="2" a="1"/>
  <c r="H5" i="2" s="1"/>
  <c r="I5" i="2" a="1"/>
  <c r="I5" i="2"/>
  <c r="J5" i="2" a="1"/>
  <c r="J5" i="2" s="1"/>
  <c r="D6" i="2" a="1"/>
  <c r="D6" i="2"/>
  <c r="E6" i="2" a="1"/>
  <c r="E6" i="2" s="1"/>
  <c r="F6" i="2" a="1"/>
  <c r="F6" i="2"/>
  <c r="G6" i="2" a="1"/>
  <c r="G6" i="2"/>
  <c r="H6" i="2" a="1"/>
  <c r="H6" i="2"/>
  <c r="I6" i="2" a="1"/>
  <c r="I6" i="2" s="1"/>
  <c r="J6" i="2" a="1"/>
  <c r="J6" i="2" s="1"/>
  <c r="D7" i="2" a="1"/>
  <c r="D7" i="2"/>
  <c r="E7" i="2" a="1"/>
  <c r="E7" i="2" s="1"/>
  <c r="F7" i="2" a="1"/>
  <c r="F7" i="2" s="1"/>
  <c r="G7" i="2" a="1"/>
  <c r="G7" i="2"/>
  <c r="H7" i="2" a="1"/>
  <c r="H7" i="2" s="1"/>
  <c r="I7" i="2" a="1"/>
  <c r="I7" i="2"/>
  <c r="J7" i="2" a="1"/>
  <c r="J7" i="2" s="1"/>
  <c r="D8" i="2" a="1"/>
  <c r="D8" i="2"/>
  <c r="E8" i="2" a="1"/>
  <c r="E8" i="2" s="1"/>
  <c r="F8" i="2" a="1"/>
  <c r="F8" i="2" s="1"/>
  <c r="G8" i="2" a="1"/>
  <c r="G8" i="2" s="1"/>
  <c r="H8" i="2" a="1"/>
  <c r="H8" i="2"/>
  <c r="I8" i="2" a="1"/>
  <c r="I8" i="2" s="1"/>
  <c r="J8" i="2" a="1"/>
  <c r="J8" i="2"/>
  <c r="D9" i="2" a="1"/>
  <c r="D9" i="2"/>
  <c r="E9" i="2" a="1"/>
  <c r="E9" i="2"/>
  <c r="F9" i="2" a="1"/>
  <c r="F9" i="2" s="1"/>
  <c r="G9" i="2" a="1"/>
  <c r="G9" i="2"/>
  <c r="H9" i="2" a="1"/>
  <c r="H9" i="2" s="1"/>
  <c r="I9" i="2" a="1"/>
  <c r="I9" i="2"/>
  <c r="J9" i="2" a="1"/>
  <c r="J9" i="2"/>
  <c r="D10" i="2" a="1"/>
  <c r="D10" i="2"/>
  <c r="E10" i="2" a="1"/>
  <c r="E10" i="2" s="1"/>
  <c r="F10" i="2" a="1"/>
  <c r="F10" i="2" s="1"/>
  <c r="G10" i="2" a="1"/>
  <c r="G10" i="2"/>
  <c r="H10" i="2" a="1"/>
  <c r="H10" i="2" s="1"/>
  <c r="I10" i="2" a="1"/>
  <c r="I10" i="2" s="1"/>
  <c r="J10" i="2" a="1"/>
  <c r="J10" i="2" s="1"/>
  <c r="D11" i="2" a="1"/>
  <c r="D11" i="2"/>
  <c r="E11" i="2" a="1"/>
  <c r="E11" i="2"/>
  <c r="F11" i="2" a="1"/>
  <c r="F11" i="2" s="1"/>
  <c r="G11" i="2" a="1"/>
  <c r="G11" i="2"/>
  <c r="H11" i="2" a="1"/>
  <c r="H11" i="2" s="1"/>
  <c r="I11" i="2" a="1"/>
  <c r="I11" i="2"/>
  <c r="J11" i="2" a="1"/>
  <c r="J11" i="2" s="1"/>
  <c r="D12" i="2" a="1"/>
  <c r="D12" i="2"/>
  <c r="E12" i="2" a="1"/>
  <c r="E12" i="2" s="1"/>
  <c r="F12" i="2" a="1"/>
  <c r="F12" i="2" s="1"/>
  <c r="G12" i="2" a="1"/>
  <c r="G12" i="2" s="1"/>
  <c r="H12" i="2" a="1"/>
  <c r="H12" i="2"/>
  <c r="I12" i="2" a="1"/>
  <c r="I12" i="2" s="1"/>
  <c r="J12" i="2" a="1"/>
  <c r="J12" i="2"/>
  <c r="D13" i="2" a="1"/>
  <c r="D13" i="2"/>
  <c r="E13" i="2" a="1"/>
  <c r="E13" i="2" s="1"/>
  <c r="F13" i="2" a="1"/>
  <c r="F13" i="2" s="1"/>
  <c r="G13" i="2" a="1"/>
  <c r="G13" i="2"/>
  <c r="H13" i="2" a="1"/>
  <c r="H13" i="2" s="1"/>
  <c r="I13" i="2" a="1"/>
  <c r="I13" i="2"/>
  <c r="J13" i="2" a="1"/>
  <c r="J13" i="2" s="1"/>
  <c r="D14" i="2" a="1"/>
  <c r="D14" i="2"/>
  <c r="E14" i="2" a="1"/>
  <c r="E14" i="2" s="1"/>
  <c r="F14" i="2" a="1"/>
  <c r="F14" i="2" s="1"/>
  <c r="G14" i="2" a="1"/>
  <c r="G14" i="2" s="1"/>
  <c r="H14" i="2" a="1"/>
  <c r="H14" i="2" s="1"/>
  <c r="I14" i="2" a="1"/>
  <c r="I14" i="2" s="1"/>
  <c r="J14" i="2" a="1"/>
  <c r="J14" i="2" s="1"/>
  <c r="D15" i="2" a="1"/>
  <c r="D15" i="2"/>
  <c r="E15" i="2" a="1"/>
  <c r="E15" i="2" s="1"/>
  <c r="F15" i="2" a="1"/>
  <c r="F15" i="2" s="1"/>
  <c r="G15" i="2" a="1"/>
  <c r="G15" i="2" s="1"/>
  <c r="H15" i="2" a="1"/>
  <c r="H15" i="2" s="1"/>
  <c r="I15" i="2" a="1"/>
  <c r="I15" i="2" s="1"/>
  <c r="J15" i="2" a="1"/>
  <c r="J15" i="2" s="1"/>
  <c r="D16" i="2" a="1"/>
  <c r="D16" i="2"/>
  <c r="E16" i="2" a="1"/>
  <c r="E16" i="2" s="1"/>
  <c r="F16" i="2" a="1"/>
  <c r="F16" i="2" s="1"/>
  <c r="G16" i="2" a="1"/>
  <c r="G16" i="2" s="1"/>
  <c r="H16" i="2" a="1"/>
  <c r="H16" i="2" s="1"/>
  <c r="I16" i="2" a="1"/>
  <c r="I16" i="2"/>
  <c r="J16" i="2" a="1"/>
  <c r="J16" i="2" s="1"/>
  <c r="D17" i="2" a="1"/>
  <c r="D17" i="2"/>
  <c r="E17" i="2" a="1"/>
  <c r="E17" i="2" s="1"/>
  <c r="F17" i="2" a="1"/>
  <c r="F17" i="2" s="1"/>
  <c r="G17" i="2" a="1"/>
  <c r="G17" i="2" s="1"/>
  <c r="H17" i="2" a="1"/>
  <c r="H17" i="2" s="1"/>
  <c r="I17" i="2" a="1"/>
  <c r="I17" i="2" s="1"/>
  <c r="J17" i="2" a="1"/>
  <c r="J17" i="2" s="1"/>
  <c r="D18" i="2" a="1"/>
  <c r="D18" i="2"/>
  <c r="E18" i="2" a="1"/>
  <c r="E18" i="2" s="1"/>
  <c r="F18" i="2" a="1"/>
  <c r="F18" i="2" s="1"/>
  <c r="G18" i="2" a="1"/>
  <c r="G18" i="2" s="1"/>
  <c r="H18" i="2" a="1"/>
  <c r="H18" i="2" s="1"/>
  <c r="I18" i="2" a="1"/>
  <c r="I18" i="2" s="1"/>
  <c r="J18" i="2" a="1"/>
  <c r="J18" i="2" s="1"/>
  <c r="D19" i="2" a="1"/>
  <c r="D19" i="2"/>
  <c r="E19" i="2" a="1"/>
  <c r="E19" i="2" s="1"/>
  <c r="F19" i="2" a="1"/>
  <c r="F19" i="2" s="1"/>
  <c r="G19" i="2" a="1"/>
  <c r="G19" i="2" s="1"/>
  <c r="H19" i="2" a="1"/>
  <c r="H19" i="2" s="1"/>
  <c r="I19" i="2" a="1"/>
  <c r="I19" i="2" s="1"/>
  <c r="J19" i="2" a="1"/>
  <c r="J19" i="2" s="1"/>
  <c r="D20" i="2" a="1"/>
  <c r="D20" i="2"/>
  <c r="E20" i="2" a="1"/>
  <c r="E20" i="2" s="1"/>
  <c r="F20" i="2" a="1"/>
  <c r="F20" i="2"/>
  <c r="G20" i="2" a="1"/>
  <c r="G20" i="2" s="1"/>
  <c r="H20" i="2" a="1"/>
  <c r="H20" i="2" s="1"/>
  <c r="I20" i="2" a="1"/>
  <c r="I20" i="2" s="1"/>
  <c r="J20" i="2" a="1"/>
  <c r="J20" i="2" s="1"/>
  <c r="D21" i="2" a="1"/>
  <c r="D21" i="2"/>
  <c r="E21" i="2" a="1"/>
  <c r="E21" i="2" s="1"/>
  <c r="F21" i="2" a="1"/>
  <c r="F21" i="2" s="1"/>
  <c r="G21" i="2" a="1"/>
  <c r="G21" i="2" s="1"/>
  <c r="H21" i="2" a="1"/>
  <c r="H21" i="2" s="1"/>
  <c r="I21" i="2" a="1"/>
  <c r="I21" i="2" s="1"/>
  <c r="J21" i="2" a="1"/>
  <c r="J21" i="2" s="1"/>
  <c r="D22" i="2" a="1"/>
  <c r="D22" i="2"/>
  <c r="E22" i="2" a="1"/>
  <c r="E22" i="2" s="1"/>
  <c r="F22" i="2" a="1"/>
  <c r="F22" i="2" s="1"/>
  <c r="G22" i="2" a="1"/>
  <c r="G22" i="2" s="1"/>
  <c r="H22" i="2" a="1"/>
  <c r="H22" i="2" s="1"/>
  <c r="I22" i="2" a="1"/>
  <c r="I22" i="2" s="1"/>
  <c r="J22" i="2" a="1"/>
  <c r="J22" i="2" s="1"/>
  <c r="D23" i="2" a="1"/>
  <c r="D23" i="2"/>
  <c r="E23" i="2" a="1"/>
  <c r="E23" i="2" s="1"/>
  <c r="F23" i="2" a="1"/>
  <c r="F23" i="2" s="1"/>
  <c r="G23" i="2" a="1"/>
  <c r="G23" i="2" s="1"/>
  <c r="H23" i="2" a="1"/>
  <c r="H23" i="2" s="1"/>
  <c r="I23" i="2" a="1"/>
  <c r="I23" i="2" s="1"/>
  <c r="J23" i="2" a="1"/>
  <c r="J23" i="2" s="1"/>
  <c r="D24" i="2" a="1"/>
  <c r="D24" i="2"/>
  <c r="E24" i="2" a="1"/>
  <c r="E24" i="2" s="1"/>
  <c r="F24" i="2" a="1"/>
  <c r="F24" i="2"/>
  <c r="G24" i="2" a="1"/>
  <c r="G24" i="2" s="1"/>
  <c r="H24" i="2" a="1"/>
  <c r="H24" i="2" s="1"/>
  <c r="I24" i="2" a="1"/>
  <c r="I24" i="2" s="1"/>
  <c r="J24" i="2" a="1"/>
  <c r="J24" i="2" s="1"/>
  <c r="D25" i="2" a="1"/>
  <c r="D25" i="2"/>
  <c r="E25" i="2" a="1"/>
  <c r="E25" i="2" s="1"/>
  <c r="F25" i="2" a="1"/>
  <c r="F25" i="2" s="1"/>
  <c r="G25" i="2" a="1"/>
  <c r="G25" i="2" s="1"/>
  <c r="H25" i="2" a="1"/>
  <c r="H25" i="2" s="1"/>
  <c r="I25" i="2" a="1"/>
  <c r="I25" i="2" s="1"/>
  <c r="J25" i="2" a="1"/>
  <c r="J25" i="2" s="1"/>
  <c r="D26" i="2" a="1"/>
  <c r="D26" i="2"/>
  <c r="E26" i="2" a="1"/>
  <c r="E26" i="2" s="1"/>
  <c r="F26" i="2" a="1"/>
  <c r="F26" i="2" s="1"/>
  <c r="G26" i="2" a="1"/>
  <c r="G26" i="2" s="1"/>
  <c r="H26" i="2" a="1"/>
  <c r="H26" i="2" s="1"/>
  <c r="I26" i="2" a="1"/>
  <c r="I26" i="2" s="1"/>
  <c r="J26" i="2" a="1"/>
  <c r="J26" i="2" s="1"/>
  <c r="D27" i="2" a="1"/>
  <c r="D27" i="2"/>
  <c r="E27" i="2" a="1"/>
  <c r="E27" i="2" s="1"/>
  <c r="F27" i="2" a="1"/>
  <c r="F27" i="2" s="1"/>
  <c r="G27" i="2" a="1"/>
  <c r="G27" i="2" s="1"/>
  <c r="H27" i="2" a="1"/>
  <c r="H27" i="2" s="1"/>
  <c r="I27" i="2" a="1"/>
  <c r="I27" i="2" s="1"/>
  <c r="J27" i="2" a="1"/>
  <c r="J27" i="2" s="1"/>
  <c r="D28" i="2" a="1"/>
  <c r="D28" i="2"/>
  <c r="E28" i="2" a="1"/>
  <c r="E28" i="2" s="1"/>
  <c r="F28" i="2" a="1"/>
  <c r="F28" i="2" s="1"/>
  <c r="G28" i="2" a="1"/>
  <c r="G28" i="2" s="1"/>
  <c r="H28" i="2" a="1"/>
  <c r="H28" i="2" s="1"/>
  <c r="I28" i="2" a="1"/>
  <c r="I28" i="2"/>
  <c r="J28" i="2" a="1"/>
  <c r="J28" i="2" s="1"/>
  <c r="D29" i="2" a="1"/>
  <c r="D29" i="2"/>
  <c r="E29" i="2" a="1"/>
  <c r="E29" i="2" s="1"/>
  <c r="F29" i="2" a="1"/>
  <c r="F29" i="2" s="1"/>
  <c r="G29" i="2" a="1"/>
  <c r="G29" i="2" s="1"/>
  <c r="H29" i="2" a="1"/>
  <c r="H29" i="2" s="1"/>
  <c r="I29" i="2" a="1"/>
  <c r="I29" i="2" s="1"/>
  <c r="J29" i="2" a="1"/>
  <c r="J29" i="2" s="1"/>
  <c r="D30" i="2" a="1"/>
  <c r="D30" i="2"/>
  <c r="E30" i="2" a="1"/>
  <c r="E30" i="2" s="1"/>
  <c r="F30" i="2" a="1"/>
  <c r="F30" i="2" s="1"/>
  <c r="G30" i="2" a="1"/>
  <c r="G30" i="2" s="1"/>
  <c r="H30" i="2" a="1"/>
  <c r="H30" i="2" s="1"/>
  <c r="I30" i="2" a="1"/>
  <c r="I30" i="2" s="1"/>
  <c r="J30" i="2" a="1"/>
  <c r="J30" i="2" s="1"/>
  <c r="D31" i="2" a="1"/>
  <c r="D31" i="2"/>
  <c r="E31" i="2" a="1"/>
  <c r="E31" i="2" s="1"/>
  <c r="F31" i="2" a="1"/>
  <c r="F31" i="2" s="1"/>
  <c r="G31" i="2" a="1"/>
  <c r="G31" i="2" s="1"/>
  <c r="H31" i="2" a="1"/>
  <c r="H31" i="2" s="1"/>
  <c r="I31" i="2" a="1"/>
  <c r="I31" i="2" s="1"/>
  <c r="J31" i="2" a="1"/>
  <c r="J31" i="2" s="1"/>
  <c r="D32" i="2" a="1"/>
  <c r="D32" i="2"/>
  <c r="E32" i="2" a="1"/>
  <c r="E32" i="2" s="1"/>
  <c r="F32" i="2" a="1"/>
  <c r="F32" i="2" s="1"/>
  <c r="G32" i="2" a="1"/>
  <c r="G32" i="2" s="1"/>
  <c r="H32" i="2" a="1"/>
  <c r="H32" i="2" s="1"/>
  <c r="I32" i="2" a="1"/>
  <c r="I32" i="2" s="1"/>
  <c r="J32" i="2" a="1"/>
  <c r="J32" i="2" s="1"/>
  <c r="D33" i="2" a="1"/>
  <c r="D33" i="2"/>
  <c r="E33" i="2" a="1"/>
  <c r="E33" i="2" s="1"/>
  <c r="F33" i="2" a="1"/>
  <c r="F33" i="2" s="1"/>
  <c r="G33" i="2" a="1"/>
  <c r="G33" i="2" s="1"/>
  <c r="H33" i="2" a="1"/>
  <c r="H33" i="2" s="1"/>
  <c r="I33" i="2" a="1"/>
  <c r="I33" i="2" s="1"/>
  <c r="J33" i="2" a="1"/>
  <c r="J33" i="2" s="1"/>
  <c r="D34" i="2" a="1"/>
  <c r="D34" i="2"/>
  <c r="E34" i="2" a="1"/>
  <c r="E34" i="2" s="1"/>
  <c r="F34" i="2" a="1"/>
  <c r="F34" i="2" s="1"/>
  <c r="G34" i="2" a="1"/>
  <c r="G34" i="2" s="1"/>
  <c r="H34" i="2" a="1"/>
  <c r="H34" i="2" s="1"/>
  <c r="I34" i="2" a="1"/>
  <c r="I34" i="2" s="1"/>
  <c r="J34" i="2" a="1"/>
  <c r="J34" i="2" s="1"/>
  <c r="D35" i="2" a="1"/>
  <c r="D35" i="2"/>
  <c r="E35" i="2" a="1"/>
  <c r="E35" i="2" s="1"/>
  <c r="F35" i="2" a="1"/>
  <c r="F35" i="2" s="1"/>
  <c r="G35" i="2" a="1"/>
  <c r="G35" i="2" s="1"/>
  <c r="H35" i="2" a="1"/>
  <c r="H35" i="2" s="1"/>
  <c r="I35" i="2" a="1"/>
  <c r="I35" i="2" s="1"/>
  <c r="J35" i="2" a="1"/>
  <c r="J35" i="2" s="1"/>
  <c r="D36" i="2" a="1"/>
  <c r="D36" i="2"/>
  <c r="E36" i="2" a="1"/>
  <c r="E36" i="2"/>
  <c r="F36" i="2" a="1"/>
  <c r="F36" i="2" s="1"/>
  <c r="G36" i="2" a="1"/>
  <c r="G36" i="2" s="1"/>
  <c r="H36" i="2" a="1"/>
  <c r="H36" i="2" s="1"/>
  <c r="I36" i="2" a="1"/>
  <c r="I36" i="2"/>
  <c r="J36" i="2" a="1"/>
  <c r="J36" i="2" s="1"/>
  <c r="D37" i="2" a="1"/>
  <c r="D37" i="2"/>
  <c r="E37" i="2" a="1"/>
  <c r="E37" i="2" s="1"/>
  <c r="F37" i="2" a="1"/>
  <c r="F37" i="2" s="1"/>
  <c r="G37" i="2" a="1"/>
  <c r="G37" i="2" s="1"/>
  <c r="H37" i="2" a="1"/>
  <c r="H37" i="2" s="1"/>
  <c r="I37" i="2" a="1"/>
  <c r="I37" i="2" s="1"/>
  <c r="J37" i="2" a="1"/>
  <c r="J37" i="2" s="1"/>
  <c r="D38" i="2" a="1"/>
  <c r="D38" i="2"/>
  <c r="E38" i="2" a="1"/>
  <c r="E38" i="2" s="1"/>
  <c r="F38" i="2" a="1"/>
  <c r="F38" i="2" s="1"/>
  <c r="G38" i="2" a="1"/>
  <c r="G38" i="2" s="1"/>
  <c r="H38" i="2" a="1"/>
  <c r="H38" i="2" s="1"/>
  <c r="I38" i="2" a="1"/>
  <c r="I38" i="2" s="1"/>
  <c r="J38" i="2" a="1"/>
  <c r="J38" i="2" s="1"/>
  <c r="D39" i="2" a="1"/>
  <c r="D39" i="2"/>
  <c r="E39" i="2" a="1"/>
  <c r="E39" i="2" s="1"/>
  <c r="F39" i="2" a="1"/>
  <c r="F39" i="2" s="1"/>
  <c r="G39" i="2" a="1"/>
  <c r="G39" i="2" s="1"/>
  <c r="H39" i="2" a="1"/>
  <c r="H39" i="2" s="1"/>
  <c r="I39" i="2" a="1"/>
  <c r="I39" i="2" s="1"/>
  <c r="J39" i="2" a="1"/>
  <c r="J39" i="2" s="1"/>
  <c r="D40" i="2" a="1"/>
  <c r="D40" i="2"/>
  <c r="E40" i="2" a="1"/>
  <c r="E40" i="2" s="1"/>
  <c r="F40" i="2" a="1"/>
  <c r="F40" i="2" s="1"/>
  <c r="G40" i="2" a="1"/>
  <c r="G40" i="2" s="1"/>
  <c r="H40" i="2" a="1"/>
  <c r="H40" i="2" s="1"/>
  <c r="I40" i="2" a="1"/>
  <c r="I40" i="2"/>
  <c r="J40" i="2" a="1"/>
  <c r="J40" i="2" s="1"/>
  <c r="D41" i="2" a="1"/>
  <c r="D41" i="2"/>
  <c r="E41" i="2" a="1"/>
  <c r="E41" i="2" s="1"/>
  <c r="F41" i="2" a="1"/>
  <c r="F41" i="2" s="1"/>
  <c r="G41" i="2" a="1"/>
  <c r="G41" i="2" s="1"/>
  <c r="H41" i="2" a="1"/>
  <c r="H41" i="2" s="1"/>
  <c r="I41" i="2" a="1"/>
  <c r="I41" i="2" s="1"/>
  <c r="J41" i="2" a="1"/>
  <c r="J41" i="2" s="1"/>
  <c r="D42" i="2" a="1"/>
  <c r="D42" i="2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D43" i="2" a="1"/>
  <c r="D43" i="2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D44" i="2" a="1"/>
  <c r="D44" i="2"/>
  <c r="E44" i="2" a="1"/>
  <c r="E44" i="2"/>
  <c r="F44" i="2" a="1"/>
  <c r="F44" i="2" s="1"/>
  <c r="G44" i="2" a="1"/>
  <c r="G44" i="2" s="1"/>
  <c r="H44" i="2" a="1"/>
  <c r="H44" i="2" s="1"/>
  <c r="I44" i="2" a="1"/>
  <c r="I44" i="2" s="1"/>
  <c r="J44" i="2" a="1"/>
  <c r="J44" i="2"/>
  <c r="D45" i="2" a="1"/>
  <c r="D45" i="2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D46" i="2" a="1"/>
  <c r="D46" i="2"/>
  <c r="E46" i="2" a="1"/>
  <c r="E46" i="2" s="1"/>
  <c r="F46" i="2" a="1"/>
  <c r="F46" i="2" s="1"/>
  <c r="G46" i="2" a="1"/>
  <c r="G46" i="2" s="1"/>
  <c r="H46" i="2" a="1"/>
  <c r="H46" i="2" s="1"/>
  <c r="I46" i="2" a="1"/>
  <c r="I46" i="2" s="1"/>
  <c r="J46" i="2" a="1"/>
  <c r="J46" i="2" s="1"/>
  <c r="D47" i="2" a="1"/>
  <c r="D47" i="2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J47" i="2" a="1"/>
  <c r="J47" i="2" s="1"/>
  <c r="D48" i="2" a="1"/>
  <c r="D48" i="2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J48" i="2" a="1"/>
  <c r="J48" i="2" s="1"/>
  <c r="D49" i="2" a="1"/>
  <c r="D49" i="2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J49" i="2" a="1"/>
  <c r="J49" i="2" s="1"/>
  <c r="D50" i="2" a="1"/>
  <c r="D50" i="2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D51" i="2" a="1"/>
  <c r="D51" i="2"/>
  <c r="E51" i="2" a="1"/>
  <c r="E51" i="2" s="1"/>
  <c r="F51" i="2" a="1"/>
  <c r="F51" i="2" s="1"/>
  <c r="G51" i="2" a="1"/>
  <c r="G51" i="2" s="1"/>
  <c r="H51" i="2" a="1"/>
  <c r="H51" i="2" s="1"/>
  <c r="I51" i="2" a="1"/>
  <c r="I51" i="2" s="1"/>
  <c r="J51" i="2" a="1"/>
  <c r="J51" i="2" s="1"/>
  <c r="D52" i="2" a="1"/>
  <c r="D52" i="2"/>
  <c r="E52" i="2" a="1"/>
  <c r="E52" i="2" s="1"/>
  <c r="F52" i="2" a="1"/>
  <c r="F52" i="2"/>
  <c r="G52" i="2" a="1"/>
  <c r="G52" i="2" s="1"/>
  <c r="H52" i="2" a="1"/>
  <c r="H52" i="2" s="1"/>
  <c r="I52" i="2" a="1"/>
  <c r="I52" i="2" s="1"/>
  <c r="J52" i="2" a="1"/>
  <c r="J52" i="2" s="1"/>
  <c r="D53" i="2" a="1"/>
  <c r="D53" i="2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D54" i="2" a="1"/>
  <c r="D54" i="2"/>
  <c r="E54" i="2" a="1"/>
  <c r="E54" i="2" s="1"/>
  <c r="F54" i="2" a="1"/>
  <c r="F54" i="2" s="1"/>
  <c r="G54" i="2" a="1"/>
  <c r="G54" i="2" s="1"/>
  <c r="H54" i="2" a="1"/>
  <c r="H54" i="2" s="1"/>
  <c r="I54" i="2" a="1"/>
  <c r="I54" i="2" s="1"/>
  <c r="J54" i="2" a="1"/>
  <c r="J54" i="2" s="1"/>
  <c r="D55" i="2" a="1"/>
  <c r="D55" i="2"/>
  <c r="E55" i="2" a="1"/>
  <c r="E55" i="2" s="1"/>
  <c r="F55" i="2" a="1"/>
  <c r="F55" i="2" s="1"/>
  <c r="G55" i="2" a="1"/>
  <c r="G55" i="2" s="1"/>
  <c r="H55" i="2" a="1"/>
  <c r="H55" i="2" s="1"/>
  <c r="I55" i="2" a="1"/>
  <c r="I55" i="2" s="1"/>
  <c r="J55" i="2" a="1"/>
  <c r="J55" i="2" s="1"/>
  <c r="D56" i="2" a="1"/>
  <c r="D56" i="2"/>
  <c r="E56" i="2" a="1"/>
  <c r="E56" i="2" s="1"/>
  <c r="F56" i="2" a="1"/>
  <c r="F56" i="2"/>
  <c r="G56" i="2" a="1"/>
  <c r="G56" i="2" s="1"/>
  <c r="H56" i="2" a="1"/>
  <c r="H56" i="2" s="1"/>
  <c r="I56" i="2" a="1"/>
  <c r="I56" i="2" s="1"/>
  <c r="J56" i="2" a="1"/>
  <c r="J56" i="2" s="1"/>
  <c r="D57" i="2" a="1"/>
  <c r="D57" i="2"/>
  <c r="E57" i="2" a="1"/>
  <c r="E57" i="2" s="1"/>
  <c r="F57" i="2" a="1"/>
  <c r="F57" i="2" s="1"/>
  <c r="G57" i="2" a="1"/>
  <c r="G57" i="2" s="1"/>
  <c r="H57" i="2" a="1"/>
  <c r="H57" i="2" s="1"/>
  <c r="I57" i="2" a="1"/>
  <c r="I57" i="2" s="1"/>
  <c r="J57" i="2" a="1"/>
  <c r="J57" i="2" s="1"/>
  <c r="D58" i="2" a="1"/>
  <c r="D58" i="2"/>
  <c r="E58" i="2" a="1"/>
  <c r="E58" i="2" s="1"/>
  <c r="F58" i="2" a="1"/>
  <c r="F58" i="2" s="1"/>
  <c r="G58" i="2" a="1"/>
  <c r="G58" i="2" s="1"/>
  <c r="H58" i="2" a="1"/>
  <c r="H58" i="2" s="1"/>
  <c r="I58" i="2" a="1"/>
  <c r="I58" i="2" s="1"/>
  <c r="J58" i="2" a="1"/>
  <c r="J58" i="2" s="1"/>
  <c r="D59" i="2" a="1"/>
  <c r="D59" i="2"/>
  <c r="E59" i="2" a="1"/>
  <c r="E59" i="2" s="1"/>
  <c r="F59" i="2" a="1"/>
  <c r="F59" i="2" s="1"/>
  <c r="G59" i="2" a="1"/>
  <c r="G59" i="2" s="1"/>
  <c r="H59" i="2" a="1"/>
  <c r="H59" i="2" s="1"/>
  <c r="I59" i="2" a="1"/>
  <c r="I59" i="2" s="1"/>
  <c r="J59" i="2" a="1"/>
  <c r="J59" i="2" s="1"/>
  <c r="D60" i="2" a="1"/>
  <c r="D60" i="2"/>
  <c r="E60" i="2" a="1"/>
  <c r="E60" i="2" s="1"/>
  <c r="F60" i="2" a="1"/>
  <c r="F60" i="2" s="1"/>
  <c r="G60" i="2" a="1"/>
  <c r="G60" i="2" s="1"/>
  <c r="H60" i="2" a="1"/>
  <c r="H60" i="2" s="1"/>
  <c r="I60" i="2" a="1"/>
  <c r="I60" i="2" s="1"/>
  <c r="J60" i="2" a="1"/>
  <c r="J60" i="2" s="1"/>
  <c r="D61" i="2" a="1"/>
  <c r="D61" i="2"/>
  <c r="E61" i="2" a="1"/>
  <c r="E61" i="2" s="1"/>
  <c r="F61" i="2" a="1"/>
  <c r="F61" i="2" s="1"/>
  <c r="G61" i="2" a="1"/>
  <c r="G61" i="2" s="1"/>
  <c r="H61" i="2" a="1"/>
  <c r="H61" i="2" s="1"/>
  <c r="I61" i="2" a="1"/>
  <c r="I61" i="2" s="1"/>
  <c r="J61" i="2" a="1"/>
  <c r="J61" i="2" s="1"/>
  <c r="D62" i="2" a="1"/>
  <c r="D62" i="2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D63" i="2" a="1"/>
  <c r="D63" i="2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J63" i="2" a="1"/>
  <c r="J63" i="2" s="1"/>
  <c r="D64" i="2" a="1"/>
  <c r="D64" i="2"/>
  <c r="E64" i="2" a="1"/>
  <c r="E64" i="2" s="1"/>
  <c r="F64" i="2" a="1"/>
  <c r="F64" i="2"/>
  <c r="G64" i="2" a="1"/>
  <c r="G64" i="2" s="1"/>
  <c r="H64" i="2" a="1"/>
  <c r="H64" i="2" s="1"/>
  <c r="I64" i="2" a="1"/>
  <c r="I64" i="2"/>
  <c r="J64" i="2" a="1"/>
  <c r="J64" i="2" s="1"/>
  <c r="D65" i="2" a="1"/>
  <c r="D65" i="2"/>
  <c r="E65" i="2" a="1"/>
  <c r="E65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D66" i="2" a="1"/>
  <c r="D66" i="2"/>
  <c r="E66" i="2" a="1"/>
  <c r="E66" i="2" s="1"/>
  <c r="F66" i="2" a="1"/>
  <c r="F66" i="2" s="1"/>
  <c r="G66" i="2" a="1"/>
  <c r="G66" i="2" s="1"/>
  <c r="H66" i="2" a="1"/>
  <c r="H66" i="2" s="1"/>
  <c r="I66" i="2" a="1"/>
  <c r="I66" i="2" s="1"/>
  <c r="J66" i="2" a="1"/>
  <c r="J66" i="2" s="1"/>
  <c r="D67" i="2" a="1"/>
  <c r="D67" i="2"/>
  <c r="E67" i="2" a="1"/>
  <c r="E67" i="2" s="1"/>
  <c r="F67" i="2" a="1"/>
  <c r="F67" i="2" s="1"/>
  <c r="G67" i="2" a="1"/>
  <c r="G67" i="2" s="1"/>
  <c r="H67" i="2" a="1"/>
  <c r="H67" i="2" s="1"/>
  <c r="I67" i="2" a="1"/>
  <c r="I67" i="2" s="1"/>
  <c r="J67" i="2" a="1"/>
  <c r="J67" i="2" s="1"/>
  <c r="D68" i="2" a="1"/>
  <c r="D68" i="2"/>
  <c r="E68" i="2" a="1"/>
  <c r="E68" i="2" s="1"/>
  <c r="F68" i="2" a="1"/>
  <c r="F68" i="2" s="1"/>
  <c r="G68" i="2" a="1"/>
  <c r="G68" i="2" s="1"/>
  <c r="H68" i="2" a="1"/>
  <c r="H68" i="2" s="1"/>
  <c r="I68" i="2" a="1"/>
  <c r="I68" i="2" s="1"/>
  <c r="J68" i="2" a="1"/>
  <c r="J68" i="2" s="1"/>
  <c r="D69" i="2" a="1"/>
  <c r="D69" i="2"/>
  <c r="E69" i="2" a="1"/>
  <c r="E69" i="2" s="1"/>
  <c r="F69" i="2" a="1"/>
  <c r="F69" i="2" s="1"/>
  <c r="G69" i="2" a="1"/>
  <c r="G69" i="2" s="1"/>
  <c r="H69" i="2" a="1"/>
  <c r="H69" i="2" s="1"/>
  <c r="I69" i="2" a="1"/>
  <c r="I69" i="2" s="1"/>
  <c r="J69" i="2" a="1"/>
  <c r="J69" i="2" s="1"/>
  <c r="D70" i="2" a="1"/>
  <c r="D70" i="2"/>
  <c r="E70" i="2" a="1"/>
  <c r="E70" i="2" s="1"/>
  <c r="F70" i="2" a="1"/>
  <c r="F70" i="2" s="1"/>
  <c r="G70" i="2" a="1"/>
  <c r="G70" i="2" s="1"/>
  <c r="H70" i="2" a="1"/>
  <c r="H70" i="2" s="1"/>
  <c r="I70" i="2" a="1"/>
  <c r="I70" i="2" s="1"/>
  <c r="J70" i="2" a="1"/>
  <c r="J70" i="2"/>
  <c r="D71" i="2" a="1"/>
  <c r="D71" i="2"/>
  <c r="E71" i="2" a="1"/>
  <c r="E71" i="2"/>
  <c r="F71" i="2" a="1"/>
  <c r="F71" i="2" s="1"/>
  <c r="G71" i="2" a="1"/>
  <c r="G71" i="2" s="1"/>
  <c r="H71" i="2" a="1"/>
  <c r="H71" i="2" s="1"/>
  <c r="I71" i="2" a="1"/>
  <c r="I71" i="2" s="1"/>
  <c r="J71" i="2" a="1"/>
  <c r="J71" i="2" s="1"/>
  <c r="D72" i="2" a="1"/>
  <c r="D72" i="2"/>
  <c r="E72" i="2" a="1"/>
  <c r="E72" i="2" s="1"/>
  <c r="F72" i="2" a="1"/>
  <c r="F72" i="2" s="1"/>
  <c r="G72" i="2" a="1"/>
  <c r="G72" i="2" s="1"/>
  <c r="H72" i="2" a="1"/>
  <c r="H72" i="2" s="1"/>
  <c r="I72" i="2" a="1"/>
  <c r="I72" i="2" s="1"/>
  <c r="J72" i="2" a="1"/>
  <c r="J72" i="2" s="1"/>
  <c r="D73" i="2" a="1"/>
  <c r="D73" i="2"/>
  <c r="E73" i="2" a="1"/>
  <c r="E73" i="2" s="1"/>
  <c r="F73" i="2" a="1"/>
  <c r="F73" i="2" s="1"/>
  <c r="G73" i="2" a="1"/>
  <c r="G73" i="2" s="1"/>
  <c r="H73" i="2" a="1"/>
  <c r="H73" i="2" s="1"/>
  <c r="I73" i="2" a="1"/>
  <c r="I73" i="2" s="1"/>
  <c r="J73" i="2" a="1"/>
  <c r="J73" i="2"/>
  <c r="D74" i="2" a="1"/>
  <c r="D74" i="2"/>
  <c r="E74" i="2" a="1"/>
  <c r="E74" i="2" s="1"/>
  <c r="F74" i="2" a="1"/>
  <c r="F74" i="2" s="1"/>
  <c r="G74" i="2" a="1"/>
  <c r="G74" i="2" s="1"/>
  <c r="H74" i="2" a="1"/>
  <c r="H74" i="2" s="1"/>
  <c r="I74" i="2" a="1"/>
  <c r="I74" i="2" s="1"/>
  <c r="J74" i="2" a="1"/>
  <c r="J74" i="2" s="1"/>
  <c r="D75" i="2" a="1"/>
  <c r="D75" i="2"/>
  <c r="E75" i="2" a="1"/>
  <c r="E75" i="2" s="1"/>
  <c r="F75" i="2" a="1"/>
  <c r="F75" i="2" s="1"/>
  <c r="G75" i="2" a="1"/>
  <c r="G75" i="2" s="1"/>
  <c r="H75" i="2" a="1"/>
  <c r="H75" i="2" s="1"/>
  <c r="I75" i="2" a="1"/>
  <c r="I75" i="2" s="1"/>
  <c r="J75" i="2" a="1"/>
  <c r="J75" i="2" s="1"/>
  <c r="D76" i="2" a="1"/>
  <c r="D76" i="2"/>
  <c r="E76" i="2" a="1"/>
  <c r="E76" i="2" s="1"/>
  <c r="F76" i="2" a="1"/>
  <c r="F76" i="2" s="1"/>
  <c r="G76" i="2" a="1"/>
  <c r="G76" i="2" s="1"/>
  <c r="H76" i="2" a="1"/>
  <c r="H76" i="2" s="1"/>
  <c r="I76" i="2" a="1"/>
  <c r="I76" i="2" s="1"/>
  <c r="J76" i="2" a="1"/>
  <c r="J76" i="2" s="1"/>
  <c r="D77" i="2" a="1"/>
  <c r="D77" i="2"/>
  <c r="E77" i="2" a="1"/>
  <c r="E77" i="2" s="1"/>
  <c r="F77" i="2" a="1"/>
  <c r="F77" i="2" s="1"/>
  <c r="G77" i="2" a="1"/>
  <c r="G77" i="2" s="1"/>
  <c r="H77" i="2" a="1"/>
  <c r="H77" i="2" s="1"/>
  <c r="I77" i="2" a="1"/>
  <c r="I77" i="2" s="1"/>
  <c r="J77" i="2" a="1"/>
  <c r="J77" i="2" s="1"/>
  <c r="D78" i="2" a="1"/>
  <c r="D78" i="2"/>
  <c r="E78" i="2" a="1"/>
  <c r="E78" i="2" s="1"/>
  <c r="F78" i="2" a="1"/>
  <c r="F78" i="2" s="1"/>
  <c r="G78" i="2" a="1"/>
  <c r="G78" i="2" s="1"/>
  <c r="H78" i="2" a="1"/>
  <c r="H78" i="2" s="1"/>
  <c r="I78" i="2" a="1"/>
  <c r="I78" i="2" s="1"/>
  <c r="J78" i="2" a="1"/>
  <c r="J78" i="2"/>
  <c r="D79" i="2" a="1"/>
  <c r="D79" i="2"/>
  <c r="E79" i="2" a="1"/>
  <c r="E79" i="2" s="1"/>
  <c r="F79" i="2" a="1"/>
  <c r="F79" i="2" s="1"/>
  <c r="G79" i="2" a="1"/>
  <c r="G79" i="2" s="1"/>
  <c r="H79" i="2" a="1"/>
  <c r="H79" i="2" s="1"/>
  <c r="I79" i="2" a="1"/>
  <c r="I79" i="2" s="1"/>
  <c r="J79" i="2" a="1"/>
  <c r="J79" i="2" s="1"/>
  <c r="D80" i="2" a="1"/>
  <c r="D80" i="2"/>
  <c r="E80" i="2" a="1"/>
  <c r="E80" i="2"/>
  <c r="F80" i="2" a="1"/>
  <c r="F80" i="2" s="1"/>
  <c r="G80" i="2" a="1"/>
  <c r="G80" i="2" s="1"/>
  <c r="H80" i="2" a="1"/>
  <c r="H80" i="2" s="1"/>
  <c r="I80" i="2" a="1"/>
  <c r="I80" i="2" s="1"/>
  <c r="J80" i="2" a="1"/>
  <c r="J80" i="2" s="1"/>
  <c r="D81" i="2" a="1"/>
  <c r="D81" i="2"/>
  <c r="E81" i="2" a="1"/>
  <c r="E81" i="2" s="1"/>
  <c r="F81" i="2" a="1"/>
  <c r="F81" i="2" s="1"/>
  <c r="G81" i="2" a="1"/>
  <c r="G81" i="2" s="1"/>
  <c r="H81" i="2" a="1"/>
  <c r="H81" i="2" s="1"/>
  <c r="I81" i="2" a="1"/>
  <c r="I81" i="2" s="1"/>
  <c r="J81" i="2" a="1"/>
  <c r="J81" i="2" s="1"/>
  <c r="D82" i="2" a="1"/>
  <c r="D82" i="2"/>
  <c r="E82" i="2" a="1"/>
  <c r="E82" i="2" s="1"/>
  <c r="F82" i="2" a="1"/>
  <c r="F82" i="2" s="1"/>
  <c r="G82" i="2" a="1"/>
  <c r="G82" i="2" s="1"/>
  <c r="H82" i="2" a="1"/>
  <c r="H82" i="2" s="1"/>
  <c r="I82" i="2" a="1"/>
  <c r="I82" i="2" s="1"/>
  <c r="J82" i="2" a="1"/>
  <c r="J82" i="2"/>
  <c r="D83" i="2" a="1"/>
  <c r="D83" i="2"/>
  <c r="E83" i="2" a="1"/>
  <c r="E83" i="2"/>
  <c r="F83" i="2" a="1"/>
  <c r="F83" i="2" s="1"/>
  <c r="G83" i="2" a="1"/>
  <c r="G83" i="2" s="1"/>
  <c r="H83" i="2" a="1"/>
  <c r="H83" i="2" s="1"/>
  <c r="I83" i="2" a="1"/>
  <c r="I83" i="2" s="1"/>
  <c r="J83" i="2" a="1"/>
  <c r="J83" i="2" s="1"/>
  <c r="D84" i="2" a="1"/>
  <c r="D84" i="2"/>
  <c r="E84" i="2" a="1"/>
  <c r="E84" i="2" s="1"/>
  <c r="F84" i="2" a="1"/>
  <c r="F84" i="2" s="1"/>
  <c r="G84" i="2" a="1"/>
  <c r="G84" i="2" s="1"/>
  <c r="H84" i="2" a="1"/>
  <c r="H84" i="2" s="1"/>
  <c r="I84" i="2" a="1"/>
  <c r="I84" i="2" s="1"/>
  <c r="J84" i="2" a="1"/>
  <c r="J84" i="2" s="1"/>
  <c r="D85" i="2" a="1"/>
  <c r="D85" i="2"/>
  <c r="E85" i="2" a="1"/>
  <c r="E85" i="2" s="1"/>
  <c r="F85" i="2" a="1"/>
  <c r="F85" i="2" s="1"/>
  <c r="G85" i="2" a="1"/>
  <c r="G85" i="2" s="1"/>
  <c r="H85" i="2" a="1"/>
  <c r="H85" i="2" s="1"/>
  <c r="I85" i="2" a="1"/>
  <c r="I85" i="2" s="1"/>
  <c r="J85" i="2" a="1"/>
  <c r="J85" i="2" s="1"/>
  <c r="D86" i="2" a="1"/>
  <c r="D86" i="2"/>
  <c r="E86" i="2" a="1"/>
  <c r="E86" i="2" s="1"/>
  <c r="F86" i="2" a="1"/>
  <c r="F86" i="2" s="1"/>
  <c r="G86" i="2" a="1"/>
  <c r="G86" i="2" s="1"/>
  <c r="H86" i="2" a="1"/>
  <c r="H86" i="2" s="1"/>
  <c r="I86" i="2" a="1"/>
  <c r="I86" i="2" s="1"/>
  <c r="J86" i="2" a="1"/>
  <c r="J86" i="2"/>
  <c r="D87" i="2" a="1"/>
  <c r="D87" i="2"/>
  <c r="E87" i="2" a="1"/>
  <c r="E87" i="2"/>
  <c r="F87" i="2" a="1"/>
  <c r="F87" i="2" s="1"/>
  <c r="G87" i="2" a="1"/>
  <c r="G87" i="2" s="1"/>
  <c r="H87" i="2" a="1"/>
  <c r="H87" i="2" s="1"/>
  <c r="I87" i="2" a="1"/>
  <c r="I87" i="2" s="1"/>
  <c r="J87" i="2" a="1"/>
  <c r="J87" i="2" s="1"/>
  <c r="D88" i="2" a="1"/>
  <c r="D88" i="2"/>
  <c r="E88" i="2" a="1"/>
  <c r="E88" i="2" s="1"/>
  <c r="F88" i="2" a="1"/>
  <c r="F88" i="2" s="1"/>
  <c r="G88" i="2" a="1"/>
  <c r="G88" i="2" s="1"/>
  <c r="H88" i="2" a="1"/>
  <c r="H88" i="2" s="1"/>
  <c r="I88" i="2" a="1"/>
  <c r="I88" i="2" s="1"/>
  <c r="J88" i="2" a="1"/>
  <c r="J88" i="2" s="1"/>
  <c r="D89" i="2" a="1"/>
  <c r="D89" i="2"/>
  <c r="E89" i="2" a="1"/>
  <c r="E89" i="2" s="1"/>
  <c r="F89" i="2" a="1"/>
  <c r="F89" i="2" s="1"/>
  <c r="G89" i="2" a="1"/>
  <c r="G89" i="2" s="1"/>
  <c r="H89" i="2" a="1"/>
  <c r="H89" i="2" s="1"/>
  <c r="I89" i="2" a="1"/>
  <c r="I89" i="2" s="1"/>
  <c r="J89" i="2" a="1"/>
  <c r="J89" i="2"/>
  <c r="D90" i="2" a="1"/>
  <c r="D90" i="2"/>
  <c r="E90" i="2" a="1"/>
  <c r="E90" i="2" s="1"/>
  <c r="F90" i="2" a="1"/>
  <c r="F90" i="2" s="1"/>
  <c r="G90" i="2" a="1"/>
  <c r="G90" i="2" s="1"/>
  <c r="H90" i="2" a="1"/>
  <c r="H90" i="2" s="1"/>
  <c r="I90" i="2" a="1"/>
  <c r="I90" i="2" s="1"/>
  <c r="J90" i="2" a="1"/>
  <c r="J90" i="2" s="1"/>
  <c r="D91" i="2" a="1"/>
  <c r="D91" i="2"/>
  <c r="E91" i="2" a="1"/>
  <c r="E91" i="2" s="1"/>
  <c r="F91" i="2" a="1"/>
  <c r="F91" i="2" s="1"/>
  <c r="G91" i="2" a="1"/>
  <c r="G91" i="2" s="1"/>
  <c r="H91" i="2" a="1"/>
  <c r="H91" i="2" s="1"/>
  <c r="I91" i="2" a="1"/>
  <c r="I91" i="2" s="1"/>
  <c r="J91" i="2" a="1"/>
  <c r="J91" i="2" s="1"/>
  <c r="D92" i="2" a="1"/>
  <c r="D92" i="2"/>
  <c r="E92" i="2" a="1"/>
  <c r="E92" i="2" s="1"/>
  <c r="F92" i="2" a="1"/>
  <c r="F92" i="2" s="1"/>
  <c r="G92" i="2" a="1"/>
  <c r="G92" i="2" s="1"/>
  <c r="H92" i="2" a="1"/>
  <c r="H92" i="2" s="1"/>
  <c r="I92" i="2" a="1"/>
  <c r="I92" i="2" s="1"/>
  <c r="J92" i="2" a="1"/>
  <c r="J92" i="2" s="1"/>
  <c r="D93" i="2" a="1"/>
  <c r="D93" i="2"/>
  <c r="E93" i="2" a="1"/>
  <c r="E93" i="2" s="1"/>
  <c r="F93" i="2" a="1"/>
  <c r="F93" i="2" s="1"/>
  <c r="G93" i="2" a="1"/>
  <c r="G93" i="2" s="1"/>
  <c r="H93" i="2" a="1"/>
  <c r="H93" i="2" s="1"/>
  <c r="I93" i="2" a="1"/>
  <c r="I93" i="2" s="1"/>
  <c r="J93" i="2" a="1"/>
  <c r="J93" i="2" s="1"/>
  <c r="D94" i="2" a="1"/>
  <c r="D94" i="2"/>
  <c r="E94" i="2" a="1"/>
  <c r="E94" i="2" s="1"/>
  <c r="F94" i="2" a="1"/>
  <c r="F94" i="2" s="1"/>
  <c r="G94" i="2" a="1"/>
  <c r="G94" i="2" s="1"/>
  <c r="H94" i="2" a="1"/>
  <c r="H94" i="2" s="1"/>
  <c r="I94" i="2" a="1"/>
  <c r="I94" i="2" s="1"/>
  <c r="J94" i="2" a="1"/>
  <c r="J94" i="2" s="1"/>
  <c r="D95" i="2" a="1"/>
  <c r="D95" i="2"/>
  <c r="E95" i="2" a="1"/>
  <c r="E95" i="2" s="1"/>
  <c r="F95" i="2" a="1"/>
  <c r="F95" i="2" s="1"/>
  <c r="G95" i="2" a="1"/>
  <c r="G95" i="2" s="1"/>
  <c r="H95" i="2" a="1"/>
  <c r="H95" i="2" s="1"/>
  <c r="I95" i="2" a="1"/>
  <c r="I95" i="2" s="1"/>
  <c r="J95" i="2" a="1"/>
  <c r="J95" i="2" s="1"/>
  <c r="D96" i="2" a="1"/>
  <c r="D96" i="2"/>
  <c r="E96" i="2" a="1"/>
  <c r="E96" i="2"/>
  <c r="F96" i="2" a="1"/>
  <c r="F96" i="2"/>
  <c r="G96" i="2" a="1"/>
  <c r="G96" i="2" s="1"/>
  <c r="H96" i="2" a="1"/>
  <c r="H96" i="2" s="1"/>
  <c r="I96" i="2" a="1"/>
  <c r="I96" i="2" s="1"/>
  <c r="J96" i="2" a="1"/>
  <c r="J96" i="2" s="1"/>
  <c r="D97" i="2" a="1"/>
  <c r="D97" i="2"/>
  <c r="E97" i="2" a="1"/>
  <c r="E97" i="2" s="1"/>
  <c r="F97" i="2" a="1"/>
  <c r="F97" i="2" s="1"/>
  <c r="G97" i="2" a="1"/>
  <c r="G97" i="2" s="1"/>
  <c r="H97" i="2" a="1"/>
  <c r="H97" i="2" s="1"/>
  <c r="I97" i="2" a="1"/>
  <c r="I97" i="2"/>
  <c r="J97" i="2" a="1"/>
  <c r="J97" i="2"/>
  <c r="D98" i="2" a="1"/>
  <c r="D98" i="2"/>
  <c r="E98" i="2" a="1"/>
  <c r="E98" i="2" s="1"/>
  <c r="F98" i="2" a="1"/>
  <c r="F98" i="2" s="1"/>
  <c r="G98" i="2" a="1"/>
  <c r="G98" i="2" s="1"/>
  <c r="H98" i="2" a="1"/>
  <c r="H98" i="2" s="1"/>
  <c r="I98" i="2" a="1"/>
  <c r="I98" i="2" s="1"/>
  <c r="J98" i="2" a="1"/>
  <c r="J98" i="2" s="1"/>
  <c r="D99" i="2" a="1"/>
  <c r="D99" i="2"/>
  <c r="E99" i="2" a="1"/>
  <c r="E99" i="2" s="1"/>
  <c r="F99" i="2" a="1"/>
  <c r="F99" i="2" s="1"/>
  <c r="G99" i="2" a="1"/>
  <c r="G99" i="2" s="1"/>
  <c r="H99" i="2" a="1"/>
  <c r="H99" i="2" s="1"/>
  <c r="I99" i="2" a="1"/>
  <c r="I99" i="2" s="1"/>
  <c r="J99" i="2" a="1"/>
  <c r="J99" i="2" s="1"/>
  <c r="D100" i="2" a="1"/>
  <c r="D100" i="2"/>
  <c r="E100" i="2" a="1"/>
  <c r="E100" i="2"/>
  <c r="F100" i="2" a="1"/>
  <c r="F100" i="2"/>
  <c r="G100" i="2" a="1"/>
  <c r="G100" i="2" s="1"/>
  <c r="H100" i="2" a="1"/>
  <c r="H100" i="2" s="1"/>
  <c r="I100" i="2" a="1"/>
  <c r="I100" i="2" s="1"/>
  <c r="J100" i="2" a="1"/>
  <c r="J100" i="2" s="1"/>
  <c r="D101" i="2" a="1"/>
  <c r="D101" i="2"/>
  <c r="E101" i="2" a="1"/>
  <c r="E101" i="2" s="1"/>
  <c r="F101" i="2" a="1"/>
  <c r="F101" i="2" s="1"/>
  <c r="G101" i="2" a="1"/>
  <c r="G101" i="2" s="1"/>
  <c r="H101" i="2" a="1"/>
  <c r="H101" i="2" s="1"/>
  <c r="I101" i="2" a="1"/>
  <c r="I101" i="2"/>
  <c r="J101" i="2" a="1"/>
  <c r="J101" i="2"/>
  <c r="D102" i="2" a="1"/>
  <c r="D102" i="2"/>
  <c r="F102" i="2" a="1"/>
  <c r="F102" i="2" s="1"/>
  <c r="G102" i="2" a="1"/>
  <c r="G102" i="2" s="1"/>
  <c r="H102" i="2" a="1"/>
  <c r="H102" i="2" s="1"/>
  <c r="I102" i="2" a="1"/>
  <c r="I102" i="2" s="1"/>
  <c r="J102" i="2" a="1"/>
  <c r="J102" i="2" s="1"/>
  <c r="D103" i="2" a="1"/>
  <c r="D103" i="2"/>
  <c r="E103" i="2" a="1"/>
  <c r="E103" i="2" s="1"/>
  <c r="F103" i="2" a="1"/>
  <c r="F103" i="2" s="1"/>
  <c r="G103" i="2" a="1"/>
  <c r="G103" i="2" s="1"/>
  <c r="H103" i="2" a="1"/>
  <c r="H103" i="2" s="1"/>
  <c r="I103" i="2" a="1"/>
  <c r="I103" i="2" s="1"/>
  <c r="J103" i="2" a="1"/>
  <c r="J103" i="2" s="1"/>
  <c r="D104" i="2" a="1"/>
  <c r="D104" i="2"/>
  <c r="E104" i="2" a="1"/>
  <c r="E104" i="2" s="1"/>
  <c r="F104" i="2" a="1"/>
  <c r="F104" i="2" s="1"/>
  <c r="G104" i="2" a="1"/>
  <c r="G104" i="2" s="1"/>
  <c r="H104" i="2" a="1"/>
  <c r="H104" i="2" s="1"/>
  <c r="I104" i="2" a="1"/>
  <c r="I104" i="2" s="1"/>
  <c r="J104" i="2" a="1"/>
  <c r="J104" i="2" s="1"/>
  <c r="D105" i="2" a="1"/>
  <c r="D105" i="2"/>
  <c r="E105" i="2" a="1"/>
  <c r="E105" i="2" s="1"/>
  <c r="F105" i="2" a="1"/>
  <c r="F105" i="2" s="1"/>
  <c r="G105" i="2" a="1"/>
  <c r="G105" i="2" s="1"/>
  <c r="H105" i="2" a="1"/>
  <c r="H105" i="2" s="1"/>
  <c r="I105" i="2" a="1"/>
  <c r="I105" i="2" s="1"/>
  <c r="J105" i="2" a="1"/>
  <c r="J105" i="2"/>
  <c r="D106" i="2" a="1"/>
  <c r="D106" i="2"/>
  <c r="E106" i="2" a="1"/>
  <c r="E106" i="2"/>
  <c r="F106" i="2" a="1"/>
  <c r="F106" i="2" s="1"/>
  <c r="G106" i="2" a="1"/>
  <c r="G106" i="2" s="1"/>
  <c r="H106" i="2" a="1"/>
  <c r="H106" i="2" s="1"/>
  <c r="I106" i="2" a="1"/>
  <c r="I106" i="2" s="1"/>
  <c r="J106" i="2" a="1"/>
  <c r="J106" i="2" s="1"/>
  <c r="D107" i="2" a="1"/>
  <c r="D107" i="2"/>
  <c r="E107" i="2" a="1"/>
  <c r="E107" i="2" s="1"/>
  <c r="F107" i="2" a="1"/>
  <c r="F107" i="2" s="1"/>
  <c r="G107" i="2" a="1"/>
  <c r="G107" i="2" s="1"/>
  <c r="H107" i="2" a="1"/>
  <c r="H107" i="2" s="1"/>
  <c r="I107" i="2" a="1"/>
  <c r="I107" i="2" s="1"/>
  <c r="J107" i="2" a="1"/>
  <c r="J107" i="2" s="1"/>
  <c r="D108" i="2" a="1"/>
  <c r="D108" i="2"/>
  <c r="E108" i="2" a="1"/>
  <c r="E108" i="2" s="1"/>
  <c r="F108" i="2" a="1"/>
  <c r="F108" i="2" s="1"/>
  <c r="G108" i="2" a="1"/>
  <c r="G108" i="2" s="1"/>
  <c r="H108" i="2" a="1"/>
  <c r="H108" i="2" s="1"/>
  <c r="I108" i="2" a="1"/>
  <c r="I108" i="2" s="1"/>
  <c r="J108" i="2" a="1"/>
  <c r="J108" i="2" s="1"/>
  <c r="D109" i="2" a="1"/>
  <c r="D109" i="2"/>
  <c r="E109" i="2" a="1"/>
  <c r="E109" i="2" s="1"/>
  <c r="F109" i="2" a="1"/>
  <c r="F109" i="2" s="1"/>
  <c r="G109" i="2" a="1"/>
  <c r="G109" i="2" s="1"/>
  <c r="H109" i="2" a="1"/>
  <c r="H109" i="2" s="1"/>
  <c r="I109" i="2" a="1"/>
  <c r="I109" i="2" s="1"/>
  <c r="J109" i="2" a="1"/>
  <c r="J109" i="2"/>
  <c r="D110" i="2" a="1"/>
  <c r="D110" i="2"/>
  <c r="E110" i="2" a="1"/>
  <c r="E110" i="2"/>
  <c r="F110" i="2" a="1"/>
  <c r="F110" i="2" s="1"/>
  <c r="G110" i="2" a="1"/>
  <c r="G110" i="2" s="1"/>
  <c r="H110" i="2" a="1"/>
  <c r="H110" i="2" s="1"/>
  <c r="I110" i="2" a="1"/>
  <c r="I110" i="2" s="1"/>
  <c r="J110" i="2" a="1"/>
  <c r="J110" i="2" s="1"/>
  <c r="M54" i="2" a="1"/>
  <c r="M54" i="2" s="1"/>
  <c r="N74" i="2" a="1"/>
  <c r="N74" i="2" s="1"/>
  <c r="M73" i="2" a="1"/>
  <c r="M73" i="2" s="1"/>
  <c r="K75" i="2" a="1"/>
  <c r="K75" i="2"/>
  <c r="N73" i="2" a="1"/>
  <c r="N73" i="2" s="1"/>
  <c r="L73" i="2" a="1"/>
  <c r="L73" i="2" s="1"/>
  <c r="K63" i="2" a="1"/>
  <c r="K63" i="2"/>
  <c r="M74" i="2" a="1"/>
  <c r="M74" i="2" s="1"/>
  <c r="K64" i="2" a="1"/>
  <c r="K64" i="2"/>
  <c r="K73" i="2" a="1"/>
  <c r="K73" i="2"/>
  <c r="K65" i="2" a="1"/>
  <c r="K65" i="2"/>
  <c r="K72" i="2" a="1"/>
  <c r="K72" i="2"/>
  <c r="L62" i="2" a="1"/>
  <c r="L62" i="2" s="1"/>
  <c r="B62" i="2" s="1"/>
  <c r="M65" i="2" a="1"/>
  <c r="M65" i="2" s="1"/>
  <c r="L72" i="2" a="1"/>
  <c r="L72" i="2" s="1"/>
  <c r="K62" i="2" a="1"/>
  <c r="K62" i="2"/>
  <c r="L61" i="2" a="1"/>
  <c r="L61" i="2" s="1"/>
  <c r="L65" i="2" a="1"/>
  <c r="L65" i="2" s="1"/>
  <c r="B65" i="2" s="1"/>
  <c r="K76" i="2" a="1"/>
  <c r="K76" i="2"/>
  <c r="M64" i="2" a="1"/>
  <c r="M64" i="2"/>
  <c r="K74" i="2" a="1"/>
  <c r="K74" i="2"/>
  <c r="K61" i="2" a="1"/>
  <c r="K61" i="2"/>
  <c r="K77" i="2" a="1"/>
  <c r="K77" i="2"/>
  <c r="L64" i="2" a="1"/>
  <c r="L64" i="2"/>
  <c r="B64" i="2" s="1"/>
  <c r="K79" i="2" a="1"/>
  <c r="K79" i="2"/>
  <c r="N63" i="2" a="1"/>
  <c r="N63" i="2" s="1"/>
  <c r="K66" i="2" a="1"/>
  <c r="K66" i="2"/>
  <c r="M63" i="2" a="1"/>
  <c r="M63" i="2" s="1"/>
  <c r="K67" i="2" a="1"/>
  <c r="K67" i="2"/>
  <c r="K60" i="2" a="1"/>
  <c r="K60" i="2"/>
  <c r="K59" i="2" a="1"/>
  <c r="K59" i="2"/>
  <c r="K58" i="2" a="1"/>
  <c r="K58" i="2"/>
  <c r="K57" i="2" a="1"/>
  <c r="K57" i="2"/>
  <c r="K71" i="2" a="1"/>
  <c r="K71" i="2"/>
  <c r="K70" i="2" a="1"/>
  <c r="K70" i="2"/>
  <c r="K69" i="2" a="1"/>
  <c r="K69" i="2"/>
  <c r="K68" i="2" a="1"/>
  <c r="K68" i="2"/>
  <c r="K56" i="2" a="1"/>
  <c r="K56" i="2"/>
  <c r="K55" i="2" a="1"/>
  <c r="K55" i="2"/>
  <c r="L92" i="2" a="1"/>
  <c r="L92" i="2" s="1"/>
  <c r="B92" i="2" s="1"/>
  <c r="N94" i="2" a="1"/>
  <c r="N94" i="2" s="1"/>
  <c r="L86" i="2" a="1"/>
  <c r="L86" i="2" s="1"/>
  <c r="M94" i="2" a="1"/>
  <c r="M94" i="2" s="1"/>
  <c r="L87" i="2" a="1"/>
  <c r="L87" i="2"/>
  <c r="B87" i="2" s="1"/>
  <c r="K101" i="2" a="1"/>
  <c r="K101" i="2"/>
  <c r="K100" i="2" a="1"/>
  <c r="K100" i="2"/>
  <c r="K99" i="2" a="1"/>
  <c r="K99" i="2"/>
  <c r="K91" i="2" a="1"/>
  <c r="K91" i="2"/>
  <c r="K90" i="2" a="1"/>
  <c r="K90" i="2"/>
  <c r="K98" i="2" a="1"/>
  <c r="K98" i="2"/>
  <c r="K97" i="2" a="1"/>
  <c r="K97" i="2"/>
  <c r="K96" i="2" a="1"/>
  <c r="K96" i="2"/>
  <c r="K95" i="2" a="1"/>
  <c r="K95" i="2"/>
  <c r="K89" i="2" a="1"/>
  <c r="K89" i="2"/>
  <c r="K88" i="2" a="1"/>
  <c r="K88" i="2"/>
  <c r="K87" i="2" a="1"/>
  <c r="K87" i="2"/>
  <c r="L94" i="2" a="1"/>
  <c r="L94" i="2" s="1"/>
  <c r="O94" i="2" a="1"/>
  <c r="O94" i="2" s="1"/>
  <c r="K94" i="2" a="1"/>
  <c r="K94" i="2"/>
  <c r="M93" i="2" a="1"/>
  <c r="M93" i="2"/>
  <c r="L93" i="2" a="1"/>
  <c r="L93" i="2" s="1"/>
  <c r="K93" i="2" a="1"/>
  <c r="K93" i="2"/>
  <c r="L84" i="2" a="1"/>
  <c r="L84" i="2" s="1"/>
  <c r="B84" i="2" s="1"/>
  <c r="K86" i="2" a="1"/>
  <c r="K86" i="2"/>
  <c r="K84" i="2" a="1"/>
  <c r="K84" i="2"/>
  <c r="L83" i="2" a="1"/>
  <c r="L83" i="2" s="1"/>
  <c r="B83" i="2" s="1"/>
  <c r="K85" i="2" a="1"/>
  <c r="K85" i="2"/>
  <c r="K83" i="2" a="1"/>
  <c r="K83" i="2"/>
  <c r="L82" i="2" a="1"/>
  <c r="L82" i="2" s="1"/>
  <c r="B82" i="2" s="1"/>
  <c r="K82" i="2" a="1"/>
  <c r="K82" i="2"/>
  <c r="K81" i="2" a="1"/>
  <c r="K81" i="2"/>
  <c r="L80" i="2" a="1"/>
  <c r="L80" i="2" s="1"/>
  <c r="B80" i="2" s="1"/>
  <c r="K80" i="2" a="1"/>
  <c r="K80" i="2"/>
  <c r="K54" i="2" a="1"/>
  <c r="K54" i="2"/>
  <c r="L75" i="2" a="1"/>
  <c r="L75" i="2" s="1"/>
  <c r="B75" i="2" s="1"/>
  <c r="K53" i="2" a="1"/>
  <c r="K53" i="2"/>
  <c r="K52" i="2" a="1"/>
  <c r="K52" i="2"/>
  <c r="K51" i="2" a="1"/>
  <c r="K51" i="2"/>
  <c r="L50" i="2" a="1"/>
  <c r="L50" i="2" s="1"/>
  <c r="B50" i="2" s="1"/>
  <c r="K50" i="2" a="1"/>
  <c r="K50" i="2"/>
  <c r="L49" i="2" a="1"/>
  <c r="L49" i="2" s="1"/>
  <c r="B49" i="2" s="1"/>
  <c r="K49" i="2" a="1"/>
  <c r="K49" i="2"/>
  <c r="L48" i="2" a="1"/>
  <c r="L48" i="2" s="1"/>
  <c r="B48" i="2" s="1"/>
  <c r="K48" i="2" a="1"/>
  <c r="K48" i="2"/>
  <c r="L47" i="2" a="1"/>
  <c r="L47" i="2" s="1"/>
  <c r="B47" i="2" s="1"/>
  <c r="K47" i="2" a="1"/>
  <c r="K47" i="2"/>
  <c r="K46" i="2" a="1"/>
  <c r="K46" i="2"/>
  <c r="K45" i="2" a="1"/>
  <c r="K45" i="2"/>
  <c r="K44" i="2" a="1"/>
  <c r="K44" i="2"/>
  <c r="K43" i="2" a="1"/>
  <c r="K43" i="2"/>
  <c r="K41" i="2" a="1"/>
  <c r="K41" i="2"/>
  <c r="K40" i="2" a="1"/>
  <c r="K40" i="2"/>
  <c r="K39" i="2" a="1"/>
  <c r="K39" i="2"/>
  <c r="K38" i="2" a="1"/>
  <c r="K38" i="2"/>
  <c r="K37" i="2" a="1"/>
  <c r="K37" i="2"/>
  <c r="L36" i="2" a="1"/>
  <c r="L36" i="2"/>
  <c r="B36" i="2" s="1"/>
  <c r="K36" i="2" a="1"/>
  <c r="K36" i="2"/>
  <c r="L35" i="2" a="1"/>
  <c r="L35" i="2" s="1"/>
  <c r="B35" i="2" s="1"/>
  <c r="K35" i="2" a="1"/>
  <c r="K35" i="2"/>
  <c r="L34" i="2" a="1"/>
  <c r="L34" i="2"/>
  <c r="K34" i="2" a="1"/>
  <c r="K34" i="2"/>
  <c r="L33" i="2" a="1"/>
  <c r="L33" i="2" s="1"/>
  <c r="B33" i="2" s="1"/>
  <c r="K31" i="2" a="1"/>
  <c r="K31" i="2"/>
  <c r="K30" i="2" a="1"/>
  <c r="K30" i="2"/>
  <c r="K29" i="2" a="1"/>
  <c r="K29" i="2"/>
  <c r="K28" i="2" a="1"/>
  <c r="K28" i="2"/>
  <c r="K27" i="2" a="1"/>
  <c r="K27" i="2"/>
  <c r="K26" i="2" a="1"/>
  <c r="K26" i="2"/>
  <c r="L25" i="2" a="1"/>
  <c r="L25" i="2" s="1"/>
  <c r="B25" i="2" s="1"/>
  <c r="K25" i="2" a="1"/>
  <c r="K25" i="2"/>
  <c r="K24" i="2" a="1"/>
  <c r="K24" i="2"/>
  <c r="L23" i="2" a="1"/>
  <c r="L23" i="2"/>
  <c r="B23" i="2" s="1"/>
  <c r="K23" i="2" a="1"/>
  <c r="K23" i="2"/>
  <c r="L22" i="2" a="1"/>
  <c r="L22" i="2" s="1"/>
  <c r="B22" i="2" s="1"/>
  <c r="K22" i="2" a="1"/>
  <c r="K22" i="2"/>
  <c r="M21" i="2" a="1"/>
  <c r="M21" i="2" s="1"/>
  <c r="L21" i="2" a="1"/>
  <c r="L21" i="2" s="1"/>
  <c r="K21" i="2" a="1"/>
  <c r="K21" i="2"/>
  <c r="M20" i="2" a="1"/>
  <c r="M20" i="2" s="1"/>
  <c r="L20" i="2" a="1"/>
  <c r="L20" i="2" s="1"/>
  <c r="K19" i="2" a="1"/>
  <c r="K19" i="2"/>
  <c r="K18" i="2" a="1"/>
  <c r="K18" i="2"/>
  <c r="N17" i="2" a="1"/>
  <c r="N17" i="2" s="1"/>
  <c r="M17" i="2" a="1"/>
  <c r="M17" i="2"/>
  <c r="K17" i="2" a="1"/>
  <c r="K17" i="2"/>
  <c r="K16" i="2" a="1"/>
  <c r="K16" i="2"/>
  <c r="K15" i="2" a="1"/>
  <c r="K15" i="2"/>
  <c r="K14" i="2" a="1"/>
  <c r="K14" i="2"/>
  <c r="N13" i="2" a="1"/>
  <c r="N13" i="2" s="1"/>
  <c r="M13" i="2" a="1"/>
  <c r="M13" i="2" s="1"/>
  <c r="L13" i="2" a="1"/>
  <c r="L13" i="2" s="1"/>
  <c r="K12" i="2" a="1"/>
  <c r="K12" i="2"/>
  <c r="K11" i="2" a="1"/>
  <c r="K11" i="2"/>
  <c r="K10" i="2" a="1"/>
  <c r="K10" i="2"/>
  <c r="K9" i="2" a="1"/>
  <c r="K9" i="2"/>
  <c r="K8" i="2" a="1"/>
  <c r="K8" i="2"/>
  <c r="K7" i="2" a="1"/>
  <c r="K7" i="2"/>
  <c r="L6" i="2" a="1"/>
  <c r="L6" i="2" s="1"/>
  <c r="B6" i="2" s="1"/>
  <c r="K6" i="2" a="1"/>
  <c r="K6" i="2"/>
  <c r="L5" i="2" a="1"/>
  <c r="L5" i="2"/>
  <c r="B5" i="2" s="1"/>
  <c r="K5" i="2" a="1"/>
  <c r="K5" i="2"/>
  <c r="L4" i="2" a="1"/>
  <c r="L4" i="2" s="1"/>
  <c r="B4" i="2" s="1"/>
  <c r="K4" i="2" a="1"/>
  <c r="K4" i="2"/>
  <c r="M3" i="2" a="1"/>
  <c r="M3" i="2" s="1"/>
  <c r="L3" i="2" a="1"/>
  <c r="L3" i="2" s="1"/>
  <c r="L24" i="2" a="1"/>
  <c r="L24" i="2" s="1"/>
  <c r="B24" i="2" s="1"/>
  <c r="L54" i="2" a="1"/>
  <c r="L54" i="2" s="1"/>
  <c r="B54" i="2" s="1"/>
  <c r="L17" i="2" a="1"/>
  <c r="L17" i="2"/>
  <c r="B17" i="2" s="1"/>
  <c r="K20" i="2" a="1"/>
  <c r="K20" i="2"/>
  <c r="K32" i="2" a="1"/>
  <c r="K32" i="2"/>
  <c r="B32" i="2"/>
  <c r="K92" i="2" a="1"/>
  <c r="K92" i="2"/>
  <c r="L63" i="2" a="1"/>
  <c r="L63" i="2"/>
  <c r="L74" i="2" a="1"/>
  <c r="L74" i="2" s="1"/>
  <c r="L85" i="2" a="1"/>
  <c r="L85" i="2" s="1"/>
  <c r="B85" i="2" s="1"/>
  <c r="N93" i="2" a="1"/>
  <c r="N93" i="2" s="1"/>
  <c r="K42" i="2" a="1"/>
  <c r="K42" i="2"/>
  <c r="B42" i="2"/>
  <c r="K33" i="2" a="1"/>
  <c r="K33" i="2"/>
  <c r="K13" i="2" a="1"/>
  <c r="K13" i="2"/>
  <c r="K3" i="2" a="1"/>
  <c r="K3" i="2"/>
  <c r="D2" i="1"/>
  <c r="D3" i="1"/>
  <c r="D4" i="1"/>
  <c r="B70" i="2"/>
  <c r="B27" i="2"/>
  <c r="B73" i="2"/>
  <c r="B29" i="2"/>
  <c r="B43" i="2"/>
  <c r="B99" i="2"/>
  <c r="B12" i="2"/>
  <c r="B9" i="2"/>
  <c r="B31" i="2"/>
  <c r="B77" i="2"/>
  <c r="B53" i="2"/>
  <c r="B61" i="2"/>
  <c r="B37" i="2"/>
  <c r="B69" i="2"/>
  <c r="B86" i="2"/>
  <c r="B95" i="2"/>
  <c r="B45" i="2"/>
  <c r="B88" i="2"/>
  <c r="B103" i="2"/>
  <c r="B51" i="2"/>
  <c r="B60" i="2"/>
  <c r="B30" i="2"/>
  <c r="B38" i="2"/>
  <c r="B66" i="2"/>
  <c r="B19" i="2"/>
  <c r="B40" i="2"/>
  <c r="B16" i="2"/>
  <c r="B7" i="2"/>
  <c r="B10" i="2"/>
  <c r="B44" i="2"/>
  <c r="B14" i="2"/>
  <c r="B39" i="2"/>
  <c r="B46" i="2"/>
  <c r="B8" i="2"/>
  <c r="B26" i="2"/>
  <c r="B41" i="2"/>
  <c r="B18" i="2"/>
  <c r="B28" i="2"/>
  <c r="B34" i="2"/>
  <c r="B57" i="2"/>
  <c r="B59" i="2"/>
  <c r="B55" i="2"/>
  <c r="B58" i="2"/>
  <c r="B68" i="2"/>
  <c r="B67" i="2"/>
  <c r="B79" i="2"/>
  <c r="B72" i="2"/>
  <c r="B78" i="2"/>
  <c r="B89" i="2"/>
  <c r="B81" i="2"/>
  <c r="B96" i="2"/>
  <c r="B90" i="2"/>
  <c r="B101" i="2"/>
  <c r="B105" i="2"/>
  <c r="B98" i="2"/>
  <c r="B102" i="2"/>
  <c r="B108" i="2"/>
  <c r="B104" i="2"/>
  <c r="B106" i="2"/>
  <c r="B110" i="2"/>
  <c r="D5" i="1"/>
  <c r="H20" i="4" l="1"/>
  <c r="G21" i="4" s="1"/>
  <c r="D53" i="4"/>
  <c r="F11" i="4"/>
  <c r="E53" i="4"/>
  <c r="B11" i="4"/>
  <c r="E11" i="4"/>
  <c r="J3" i="4"/>
  <c r="I4" i="4" s="1"/>
  <c r="J4" i="4" s="1"/>
  <c r="I5" i="4" s="1"/>
  <c r="J5" i="4" s="1"/>
  <c r="I6" i="4" s="1"/>
  <c r="B53" i="4"/>
  <c r="D11" i="4"/>
  <c r="C11" i="4" s="1"/>
  <c r="G3" i="4"/>
  <c r="H3" i="4" s="1"/>
  <c r="B94" i="2"/>
  <c r="B93" i="2"/>
  <c r="B20" i="2"/>
  <c r="B21" i="2"/>
  <c r="B3" i="2"/>
  <c r="B74" i="2"/>
  <c r="B100" i="2"/>
  <c r="B76" i="2"/>
  <c r="B11" i="2"/>
  <c r="B97" i="2"/>
  <c r="B91" i="2"/>
  <c r="B13" i="2"/>
  <c r="B63" i="2"/>
  <c r="B56" i="2"/>
  <c r="B15" i="2"/>
  <c r="B52" i="2"/>
  <c r="B109" i="2"/>
  <c r="B107" i="2"/>
  <c r="B71" i="2"/>
  <c r="G4" i="4" l="1"/>
  <c r="H21" i="4"/>
  <c r="G22" i="4" s="1"/>
  <c r="J6" i="4"/>
  <c r="I7" i="4" s="1"/>
  <c r="H4" i="4" l="1"/>
  <c r="G5" i="4" s="1"/>
  <c r="H22" i="4"/>
  <c r="G23" i="4" s="1"/>
  <c r="J7" i="4"/>
  <c r="I8" i="4" s="1"/>
  <c r="H5" i="4" l="1"/>
  <c r="G6" i="4" s="1"/>
  <c r="H23" i="4"/>
  <c r="G24" i="4" s="1"/>
  <c r="H24" i="4" s="1"/>
  <c r="J8" i="4"/>
  <c r="I9" i="4" s="1"/>
  <c r="H6" i="4" l="1"/>
  <c r="G7" i="4" s="1"/>
  <c r="J9" i="4"/>
  <c r="I10" i="4" s="1"/>
  <c r="J10" i="4" s="1"/>
  <c r="H7" i="4" l="1"/>
  <c r="G8" i="4" s="1"/>
  <c r="H8" i="4" l="1"/>
  <c r="G9" i="4" s="1"/>
  <c r="H9" i="4" l="1"/>
  <c r="G10" i="4" s="1"/>
  <c r="H10" i="4" s="1"/>
</calcChain>
</file>

<file path=xl/sharedStrings.xml><?xml version="1.0" encoding="utf-8"?>
<sst xmlns="http://schemas.openxmlformats.org/spreadsheetml/2006/main" count="790" uniqueCount="301">
  <si>
    <t>Nombre de minutes d'impression :</t>
  </si>
  <si>
    <t xml:space="preserve">Nombre d'heures d'impression: </t>
  </si>
  <si>
    <t>Jours d'impression:</t>
  </si>
  <si>
    <t>Poids (kg)</t>
  </si>
  <si>
    <t>Categorie</t>
  </si>
  <si>
    <t>Emplacement</t>
  </si>
  <si>
    <t>Fichier initial </t>
  </si>
  <si>
    <t>Quantite Total</t>
  </si>
  <si>
    <t>Quantité à imprimer 12/2017</t>
  </si>
  <si>
    <t>Temps de fabrication</t>
  </si>
  <si>
    <t>Temps en minutes</t>
  </si>
  <si>
    <t>Poids(g)</t>
  </si>
  <si>
    <t>Temps Total</t>
  </si>
  <si>
    <t>Poids total (g)</t>
  </si>
  <si>
    <t>Id Impression</t>
  </si>
  <si>
    <t>Left-Hand</t>
  </si>
  <si>
    <t>lefttopsurfaceUP6</t>
  </si>
  <si>
    <t>Auriculaire3</t>
  </si>
  <si>
    <t>leftcoverfinger1</t>
  </si>
  <si>
    <t>ringfinger3</t>
  </si>
  <si>
    <t>Index3</t>
  </si>
  <si>
    <t>Bolt_entretoise7</t>
  </si>
  <si>
    <t>LeftRobCap3V2</t>
  </si>
  <si>
    <t>lefthumb5</t>
  </si>
  <si>
    <t>Majeure3</t>
  </si>
  <si>
    <t>LeftWristsmallV4</t>
  </si>
  <si>
    <t>lefttopsurface6</t>
  </si>
  <si>
    <t>LeftRobpart3V4</t>
  </si>
  <si>
    <t>LeftWristlargeV4</t>
  </si>
  <si>
    <t>LeftRobpart2V4</t>
  </si>
  <si>
    <t>LeftRobpart4V4</t>
  </si>
  <si>
    <t>LeftRobpart5V4</t>
  </si>
  <si>
    <t>Forearm</t>
  </si>
  <si>
    <t>LeftRobCableBackV3</t>
  </si>
  <si>
    <t>LeftRobCableFrontV3</t>
  </si>
  <si>
    <t>servo-pulleyX5</t>
  </si>
  <si>
    <t>LeftTensionerV1</t>
  </si>
  <si>
    <t>LeftRobServoBedV5</t>
  </si>
  <si>
    <t>leftrobpart3V3</t>
  </si>
  <si>
    <t>leftrobpart4V3</t>
  </si>
  <si>
    <t>RobRingV3</t>
  </si>
  <si>
    <t>Wrist</t>
  </si>
  <si>
    <t>LeftCableHolderWristV5</t>
  </si>
  <si>
    <t>RotaWrist3V3</t>
  </si>
  <si>
    <t>WristGearsV5</t>
  </si>
  <si>
    <t>LeftRotaWrist2V3</t>
  </si>
  <si>
    <t>LeftRotawrist1V4</t>
  </si>
  <si>
    <t>Biceps</t>
  </si>
  <si>
    <t>gearpotentioV1</t>
  </si>
  <si>
    <t>RotPotentioV2</t>
  </si>
  <si>
    <t>RotMitV2</t>
  </si>
  <si>
    <t>GearHolderV1</t>
  </si>
  <si>
    <t>spacerV1</t>
  </si>
  <si>
    <t>RotGearV4</t>
  </si>
  <si>
    <t>RotWormV5</t>
  </si>
  <si>
    <t>PistonanticlockV2</t>
  </si>
  <si>
    <t>elbowshaftgearV1</t>
  </si>
  <si>
    <t>servoholderV1</t>
  </si>
  <si>
    <t>servobaseV1</t>
  </si>
  <si>
    <t>Left-Arm</t>
  </si>
  <si>
    <t>Left-Biceps</t>
  </si>
  <si>
    <t>leftRotTitV2</t>
  </si>
  <si>
    <t>PistonbaseantiV2</t>
  </si>
  <si>
    <t>reinforcerV1</t>
  </si>
  <si>
    <t>lowarmsideV1</t>
  </si>
  <si>
    <t>armtopcover2</t>
  </si>
  <si>
    <t>leftRotCenterV2</t>
  </si>
  <si>
    <t>HighArmSideV2</t>
  </si>
  <si>
    <t>armtopcover1</t>
  </si>
  <si>
    <t>armtopcover3</t>
  </si>
  <si>
    <t>Left-Shoulder</t>
  </si>
  <si>
    <t>leftPivcenterV1</t>
  </si>
  <si>
    <t>Shoulder</t>
  </si>
  <si>
    <t>PivWormV2</t>
  </si>
  <si>
    <t>servoHolsterV1</t>
  </si>
  <si>
    <t>leftPivPotholderV2</t>
  </si>
  <si>
    <t>leftPivTitV1</t>
  </si>
  <si>
    <t>PistonbaseV6</t>
  </si>
  <si>
    <t>leftPivMitV1</t>
  </si>
  <si>
    <t>PivPotentioV2</t>
  </si>
  <si>
    <t>ClaviBackV2</t>
  </si>
  <si>
    <t>ClaviFrontV2</t>
  </si>
  <si>
    <t>PistonClaviV3</t>
  </si>
  <si>
    <t>PivConnectorV1</t>
  </si>
  <si>
    <t>PivGearV4</t>
  </si>
  <si>
    <t>HomLowBack-V1</t>
  </si>
  <si>
    <t>HomLowFront-V1</t>
  </si>
  <si>
    <t>interKinectMidV1</t>
  </si>
  <si>
    <t>KinectSideBackV1</t>
  </si>
  <si>
    <t>KinectSideHolderV1</t>
  </si>
  <si>
    <t>homplateback+V1</t>
  </si>
  <si>
    <t>homplatebacklow+V1</t>
  </si>
  <si>
    <t>homplatebacklow-V1</t>
  </si>
  <si>
    <t>homplateback-V1</t>
  </si>
  <si>
    <t>homplatefront+V1</t>
  </si>
  <si>
    <t>homplatefront-V1</t>
  </si>
  <si>
    <t>ChestLowV1</t>
  </si>
  <si>
    <t>KinectMidFrontV1</t>
  </si>
  <si>
    <t>interKinectSideV1</t>
  </si>
  <si>
    <t>KinectMidBackV1</t>
  </si>
  <si>
    <t>SternumV1</t>
  </si>
  <si>
    <t>Cou</t>
  </si>
  <si>
    <t>FaceHolderV3</t>
  </si>
  <si>
    <t>ThroatLowerV1</t>
  </si>
  <si>
    <t>MainGearV1</t>
  </si>
  <si>
    <t>ThroatPistonV3</t>
  </si>
  <si>
    <t>NeckV1</t>
  </si>
  <si>
    <t>ThroatHoleV2</t>
  </si>
  <si>
    <t>NeckBoltsV2</t>
  </si>
  <si>
    <t>SkullServoFixV1</t>
  </si>
  <si>
    <t>NeckHingeV1</t>
  </si>
  <si>
    <t>ThroatHolderV1</t>
  </si>
  <si>
    <t>RingV1</t>
  </si>
  <si>
    <t>ThroatPistonBaseV3</t>
  </si>
  <si>
    <t>ServoGearV1</t>
  </si>
  <si>
    <t>Head</t>
  </si>
  <si>
    <t>Eye Mechanisme</t>
  </si>
  <si>
    <t>EyeHolderV1</t>
  </si>
  <si>
    <t>EyeHingeCurveV1</t>
  </si>
  <si>
    <t>EyePlateLeftV1</t>
  </si>
  <si>
    <t>EyePlateRightV1</t>
  </si>
  <si>
    <t>Skull &amp; Ears</t>
  </si>
  <si>
    <t>SpeakerSpacer1</t>
  </si>
  <si>
    <t>EyeHingeV2</t>
  </si>
  <si>
    <t>Face &amp; Jaw</t>
  </si>
  <si>
    <t>SideHearV2</t>
  </si>
  <si>
    <t>JawV4</t>
  </si>
  <si>
    <t>EyeglassV2</t>
  </si>
  <si>
    <t>EarSpeakerLeftV1</t>
  </si>
  <si>
    <t>EarSpeakerRightV1</t>
  </si>
  <si>
    <t>EarLeftV1</t>
  </si>
  <si>
    <t>EarRightV1</t>
  </si>
  <si>
    <t>LowbackV2</t>
  </si>
  <si>
    <t>TopMouthV2</t>
  </si>
  <si>
    <t>TopBackSkullV1</t>
  </si>
  <si>
    <t>TopskullLeftV3</t>
  </si>
  <si>
    <t>TopskullRightV3</t>
  </si>
  <si>
    <t>JawPistonV1</t>
  </si>
  <si>
    <t>JawHingeV1</t>
  </si>
  <si>
    <t>EyeTo NoseV5</t>
  </si>
  <si>
    <t>JawHingeV2</t>
  </si>
  <si>
    <t>Speaker1</t>
  </si>
  <si>
    <t>2xEyeBallFullV2</t>
  </si>
  <si>
    <t>JawSupportV1</t>
  </si>
  <si>
    <t>EyeSupportV4</t>
  </si>
  <si>
    <t>Back</t>
  </si>
  <si>
    <t>Chest-Back</t>
  </si>
  <si>
    <t>MiddleChestV1</t>
  </si>
  <si>
    <t>MiddleChest+PIRV1</t>
  </si>
  <si>
    <t>BackCoverBottomRightV2</t>
  </si>
  <si>
    <t>BackCoverBottomLeftV2</t>
  </si>
  <si>
    <t>BackDoorLeftV3</t>
  </si>
  <si>
    <t>BackDoorRightV3</t>
  </si>
  <si>
    <t>ChestLeftV1</t>
  </si>
  <si>
    <t>ChestRightV1</t>
  </si>
  <si>
    <t>UnderKinectV1</t>
  </si>
  <si>
    <t>SideRibsCoverV2</t>
  </si>
  <si>
    <t>BottomChestV1</t>
  </si>
  <si>
    <t>BatteryPusherV1</t>
  </si>
  <si>
    <t>BackCoverTopLeftV3</t>
  </si>
  <si>
    <t>BackPowerV1</t>
  </si>
  <si>
    <t>BackCoverTopRightV3</t>
  </si>
  <si>
    <t>BackHolderLowLeftV1</t>
  </si>
  <si>
    <t>BackCoverLowLeftV1</t>
  </si>
  <si>
    <t>BackHolderLowRightV1</t>
  </si>
  <si>
    <t>BackCoverLowRightV1</t>
  </si>
  <si>
    <t>ChestTopAttachV1</t>
  </si>
  <si>
    <t>BackHipsRightV2</t>
  </si>
  <si>
    <t>BackSideHolderLeftV1</t>
  </si>
  <si>
    <t>BackHipsLeftV2</t>
  </si>
  <si>
    <t>BackSideHolderRightV1</t>
  </si>
  <si>
    <t>ChestTopV1</t>
  </si>
  <si>
    <t>Typo</t>
  </si>
  <si>
    <t>BackCoverBottomMidV2</t>
  </si>
  <si>
    <t>BackHolderCenterRightV1</t>
  </si>
  <si>
    <t>BatteryHolderRightV1</t>
  </si>
  <si>
    <t>BackHolderCenterLeftV1</t>
  </si>
  <si>
    <t>BatteryHolderLeftV1</t>
  </si>
  <si>
    <t>BackCoverTopMid.V2</t>
  </si>
  <si>
    <t>InMRightV1</t>
  </si>
  <si>
    <t>BackHolderCenterV1</t>
  </si>
  <si>
    <t>InMLeftV1</t>
  </si>
  <si>
    <t>BackClaviHolderV2</t>
  </si>
  <si>
    <t>BackHipsMidV2</t>
  </si>
  <si>
    <t>BatteryHolderRightV3</t>
  </si>
  <si>
    <t>InMRightV1HollowV1</t>
  </si>
  <si>
    <t>BackDoorClipV1</t>
  </si>
  <si>
    <t>BatteryHolderLeftV3</t>
  </si>
  <si>
    <t>InMLeftV1HollowV1</t>
  </si>
  <si>
    <t>Finger Tip  Silcone</t>
  </si>
  <si>
    <t>FingerTipMoldV3</t>
  </si>
  <si>
    <t>EarLeftV0</t>
  </si>
  <si>
    <t>EarRightV0</t>
  </si>
  <si>
    <t>EyeBallSupportHerculeLeftV2</t>
  </si>
  <si>
    <t>EyeBallSupportHerculeRightV2</t>
  </si>
  <si>
    <t>EyeBallSupportLifeCamHDLeftV1</t>
  </si>
  <si>
    <t>EyeBallSupportLifeCamHDRightV1</t>
  </si>
  <si>
    <t>Right-Arm</t>
  </si>
  <si>
    <t>Right-Biceps</t>
  </si>
  <si>
    <t>RotcenterV2</t>
  </si>
  <si>
    <t>RotTitV2</t>
  </si>
  <si>
    <t>Right-Hand</t>
  </si>
  <si>
    <t>CableHolderWristV5</t>
  </si>
  <si>
    <t>RobCableBackV3</t>
  </si>
  <si>
    <t>RobCableFrontV3</t>
  </si>
  <si>
    <t>robpart3V3</t>
  </si>
  <si>
    <t>robpart4V3</t>
  </si>
  <si>
    <t>RobServoBedV5</t>
  </si>
  <si>
    <t>Rotawrist1V4</t>
  </si>
  <si>
    <t>RotaWrist2V3</t>
  </si>
  <si>
    <t>TensionerRightV1</t>
  </si>
  <si>
    <t>Right-Shoulder</t>
  </si>
  <si>
    <t>PivcenterV1</t>
  </si>
  <si>
    <t>PivMitV1</t>
  </si>
  <si>
    <t>PivPotholderV2</t>
  </si>
  <si>
    <t>PivTitV1</t>
  </si>
  <si>
    <t>Stomach</t>
  </si>
  <si>
    <t>Mid Stomach</t>
  </si>
  <si>
    <t>BotBackLeftV1</t>
  </si>
  <si>
    <t>BotBackRightV1</t>
  </si>
  <si>
    <t>BotCapLeftV1</t>
  </si>
  <si>
    <t>BotCapRightV1</t>
  </si>
  <si>
    <t>BotFrontLeftV1</t>
  </si>
  <si>
    <t>BotFrontRightV1</t>
  </si>
  <si>
    <t>Top Stomach</t>
  </si>
  <si>
    <t>DiskExternV3</t>
  </si>
  <si>
    <t>DiskInternV3</t>
  </si>
  <si>
    <t>DiskUnderV1</t>
  </si>
  <si>
    <t>HipCoverFrontV1</t>
  </si>
  <si>
    <t>HipCoverLeftV1</t>
  </si>
  <si>
    <t>HipCoverRightV1</t>
  </si>
  <si>
    <t>MidPotHolderV1</t>
  </si>
  <si>
    <t>MidWormRightV1</t>
  </si>
  <si>
    <t>RollBackLeftV1</t>
  </si>
  <si>
    <t>RollBackRightV1</t>
  </si>
  <si>
    <t>RollFrontLeftV1</t>
  </si>
  <si>
    <t>RollFrontRightV1</t>
  </si>
  <si>
    <t>ServoBackV1</t>
  </si>
  <si>
    <t>StoGearAttachV1</t>
  </si>
  <si>
    <t>StomGearV2</t>
  </si>
  <si>
    <t>Low Stomach</t>
  </si>
  <si>
    <t>StomSupportLeftV1</t>
  </si>
  <si>
    <t>StomSupportRightV1</t>
  </si>
  <si>
    <t>TStoBackLeftV1</t>
  </si>
  <si>
    <t>TStoBackRightV1</t>
  </si>
  <si>
    <t>TStoBackStandLeftV1</t>
  </si>
  <si>
    <t>TStoBackStandRightV1</t>
  </si>
  <si>
    <t>TStoFrontLeftV1</t>
  </si>
  <si>
    <t>TStoFrontRightV1</t>
  </si>
  <si>
    <t>TStoFrontStandV2</t>
  </si>
  <si>
    <t>TStoLowLeftV1</t>
  </si>
  <si>
    <t>TStoLowRightV1</t>
  </si>
  <si>
    <t>TStomCovLeftV2</t>
  </si>
  <si>
    <t>TStomCovRightV2</t>
  </si>
  <si>
    <t>TStoMiddleV1</t>
  </si>
  <si>
    <t>TStomPotHolderv1</t>
  </si>
  <si>
    <t>TStomRotBackV1</t>
  </si>
  <si>
    <t>TStomRotFrontV1</t>
  </si>
  <si>
    <t>TStomSpacerV1</t>
  </si>
  <si>
    <t>TStoPistonLeftV2</t>
  </si>
  <si>
    <t>TStoPistonRightV2</t>
  </si>
  <si>
    <t>TStoServoHolsterV2</t>
  </si>
  <si>
    <t>Min jour :</t>
  </si>
  <si>
    <t xml:space="preserve"> 04:00:00</t>
  </si>
  <si>
    <t>Pièce</t>
  </si>
  <si>
    <t>Temps</t>
  </si>
  <si>
    <t>Quantite</t>
  </si>
  <si>
    <t>Impresssion</t>
  </si>
  <si>
    <t>Nombre Pièces</t>
  </si>
  <si>
    <t>Poids</t>
  </si>
  <si>
    <t>Pieces</t>
  </si>
  <si>
    <t>Temps total d'impressions</t>
  </si>
  <si>
    <t xml:space="preserve">Rechercher par  STL : </t>
  </si>
  <si>
    <t>Rechercher par ID d'impression :</t>
  </si>
  <si>
    <t>servo</t>
  </si>
  <si>
    <t>Jour impressions</t>
  </si>
  <si>
    <t>TOTAL</t>
  </si>
  <si>
    <t>différents ID d'impressions</t>
  </si>
  <si>
    <t>Début</t>
  </si>
  <si>
    <t>Left-Wrist</t>
  </si>
  <si>
    <t>Left-Forearm</t>
  </si>
  <si>
    <t xml:space="preserve">Fin </t>
  </si>
  <si>
    <t xml:space="preserve">Rentrée </t>
  </si>
  <si>
    <t xml:space="preserve">Début Vac Autômne </t>
  </si>
  <si>
    <t>Fin Vac Autônme</t>
  </si>
  <si>
    <t>Début Vac NoËl</t>
  </si>
  <si>
    <t>Fin Vac Noël</t>
  </si>
  <si>
    <t>J En commun</t>
  </si>
  <si>
    <t>Neck</t>
  </si>
  <si>
    <t>Chest</t>
  </si>
  <si>
    <t>Categorie Piece</t>
  </si>
  <si>
    <t>Date Impression</t>
  </si>
  <si>
    <t>Férier</t>
  </si>
  <si>
    <t>Temps total d'impressions (min)</t>
  </si>
  <si>
    <t>Catégorie Pièces</t>
  </si>
  <si>
    <t>Jour d'impressions</t>
  </si>
  <si>
    <t>Quantité</t>
  </si>
  <si>
    <t>avec 2 imprimantes</t>
  </si>
  <si>
    <t>avec 1 imprimante</t>
  </si>
  <si>
    <t xml:space="preserve">         Estimation pour 1 imprimante</t>
  </si>
  <si>
    <t xml:space="preserve">         Estimation pour 2 imprimante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</si>
</sst>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mm]"/>
    <numFmt numFmtId="165" formatCode="[$-F400]h:mm:ss\ AM/PM"/>
  </numFmts>
  <fonts count="1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E798E"/>
        <bgColor indexed="64"/>
      </patternFill>
    </fill>
    <fill>
      <patternFill patternType="solid">
        <fgColor rgb="FF607D8B"/>
        <bgColor indexed="64"/>
      </patternFill>
    </fill>
    <fill>
      <patternFill patternType="solid">
        <fgColor rgb="FF305E6E"/>
        <bgColor indexed="64"/>
      </patternFill>
    </fill>
    <fill>
      <patternFill patternType="solid">
        <fgColor rgb="FF526D7A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ck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5" fontId="1" fillId="0" borderId="2" xfId="0" applyNumberFormat="1" applyFont="1" applyFill="1" applyBorder="1" applyAlignment="1">
      <alignment horizontal="center" vertical="center"/>
    </xf>
    <xf numFmtId="164" fontId="1" fillId="0" borderId="2" xfId="0" applyNumberFormat="1" applyFont="1" applyFill="1" applyBorder="1" applyAlignment="1">
      <alignment horizontal="center" vertical="center"/>
    </xf>
    <xf numFmtId="2" fontId="1" fillId="0" borderId="2" xfId="0" applyNumberFormat="1" applyFont="1" applyFill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1" fontId="1" fillId="0" borderId="2" xfId="0" applyNumberFormat="1" applyFont="1" applyBorder="1" applyAlignment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0" borderId="2" xfId="0" applyNumberFormat="1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65" fontId="1" fillId="0" borderId="3" xfId="0" applyNumberFormat="1" applyFont="1" applyFill="1" applyBorder="1" applyAlignment="1">
      <alignment horizontal="center" vertical="center"/>
    </xf>
    <xf numFmtId="164" fontId="1" fillId="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65" fontId="1" fillId="0" borderId="1" xfId="0" applyNumberFormat="1" applyFont="1" applyFill="1" applyBorder="1" applyAlignment="1">
      <alignment horizontal="center" vertical="center"/>
    </xf>
    <xf numFmtId="21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65" fontId="4" fillId="4" borderId="0" xfId="0" applyNumberFormat="1" applyFont="1" applyFill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9" xfId="0" applyNumberFormat="1" applyFont="1" applyFill="1" applyBorder="1" applyAlignment="1">
      <alignment horizontal="center" vertical="center"/>
    </xf>
    <xf numFmtId="0" fontId="6" fillId="4" borderId="0" xfId="0" applyNumberFormat="1" applyFont="1" applyFill="1" applyBorder="1" applyAlignment="1">
      <alignment horizontal="center" vertical="center"/>
    </xf>
    <xf numFmtId="0" fontId="6" fillId="4" borderId="10" xfId="0" applyNumberFormat="1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64" fontId="1" fillId="0" borderId="12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164" fontId="7" fillId="2" borderId="18" xfId="0" applyNumberFormat="1" applyFont="1" applyFill="1" applyBorder="1" applyAlignment="1">
      <alignment horizontal="center" vertical="center"/>
    </xf>
    <xf numFmtId="164" fontId="0" fillId="0" borderId="0" xfId="0" applyNumberFormat="1"/>
    <xf numFmtId="164" fontId="0" fillId="2" borderId="15" xfId="0" applyNumberForma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2" fontId="1" fillId="0" borderId="3" xfId="0" applyNumberFormat="1" applyFont="1" applyFill="1" applyBorder="1" applyAlignment="1">
      <alignment horizontal="center" vertical="center"/>
    </xf>
    <xf numFmtId="1" fontId="1" fillId="0" borderId="3" xfId="0" applyNumberFormat="1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/>
    </xf>
    <xf numFmtId="0" fontId="6" fillId="0" borderId="22" xfId="0" applyNumberFormat="1" applyFont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64" fontId="1" fillId="5" borderId="0" xfId="0" applyNumberFormat="1" applyFont="1" applyFill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2" fontId="1" fillId="5" borderId="0" xfId="0" applyNumberFormat="1" applyFont="1" applyFill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2" fontId="1" fillId="0" borderId="28" xfId="0" applyNumberFormat="1" applyFont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6" borderId="0" xfId="0" applyNumberFormat="1" applyFont="1" applyFill="1" applyAlignment="1">
      <alignment horizontal="center" vertical="center"/>
    </xf>
    <xf numFmtId="164" fontId="1" fillId="6" borderId="0" xfId="0" applyNumberFormat="1" applyFont="1" applyFill="1" applyAlignment="1">
      <alignment horizontal="center" vertical="center"/>
    </xf>
    <xf numFmtId="2" fontId="1" fillId="6" borderId="0" xfId="0" applyNumberFormat="1" applyFont="1" applyFill="1" applyAlignment="1">
      <alignment horizontal="center" vertical="center"/>
    </xf>
    <xf numFmtId="0" fontId="1" fillId="6" borderId="0" xfId="0" applyFont="1" applyFill="1" applyBorder="1" applyAlignment="1">
      <alignment horizontal="center" vertical="center"/>
    </xf>
    <xf numFmtId="2" fontId="1" fillId="6" borderId="0" xfId="0" applyNumberFormat="1" applyFont="1" applyFill="1" applyAlignment="1">
      <alignment horizontal="center" vertical="center"/>
    </xf>
    <xf numFmtId="0" fontId="0" fillId="2" borderId="15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1" fillId="6" borderId="0" xfId="0" applyNumberFormat="1" applyFont="1" applyFill="1" applyAlignment="1">
      <alignment horizontal="center" vertical="center"/>
    </xf>
    <xf numFmtId="0" fontId="7" fillId="2" borderId="29" xfId="0" applyFont="1" applyFill="1" applyBorder="1" applyAlignment="1">
      <alignment horizontal="center" vertical="center"/>
    </xf>
    <xf numFmtId="164" fontId="0" fillId="2" borderId="30" xfId="0" applyNumberFormat="1" applyFill="1" applyBorder="1" applyAlignment="1">
      <alignment horizontal="center" vertical="center"/>
    </xf>
    <xf numFmtId="0" fontId="0" fillId="2" borderId="30" xfId="0" applyNumberFormat="1" applyFill="1" applyBorder="1" applyAlignment="1">
      <alignment horizontal="center" vertical="center"/>
    </xf>
    <xf numFmtId="164" fontId="7" fillId="2" borderId="29" xfId="0" applyNumberFormat="1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14" fontId="0" fillId="0" borderId="0" xfId="0" applyNumberFormat="1"/>
    <xf numFmtId="14" fontId="1" fillId="6" borderId="0" xfId="0" applyNumberFormat="1" applyFont="1" applyFill="1" applyAlignment="1">
      <alignment horizontal="center" vertical="center"/>
    </xf>
    <xf numFmtId="14" fontId="6" fillId="0" borderId="22" xfId="0" applyNumberFormat="1" applyFont="1" applyBorder="1" applyAlignment="1">
      <alignment horizontal="center" vertical="center"/>
    </xf>
    <xf numFmtId="14" fontId="1" fillId="0" borderId="2" xfId="0" applyNumberFormat="1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4" fontId="1" fillId="0" borderId="3" xfId="0" applyNumberFormat="1" applyFont="1" applyFill="1" applyBorder="1" applyAlignment="1">
      <alignment horizontal="center" vertical="center"/>
    </xf>
    <xf numFmtId="0" fontId="7" fillId="7" borderId="29" xfId="0" applyFont="1" applyFill="1" applyBorder="1" applyAlignment="1">
      <alignment horizontal="center" vertical="center"/>
    </xf>
    <xf numFmtId="14" fontId="0" fillId="7" borderId="1" xfId="0" applyNumberFormat="1" applyFill="1" applyBorder="1"/>
    <xf numFmtId="14" fontId="0" fillId="7" borderId="2" xfId="0" applyNumberFormat="1" applyFill="1" applyBorder="1"/>
    <xf numFmtId="0" fontId="0" fillId="7" borderId="0" xfId="0" applyFill="1"/>
    <xf numFmtId="0" fontId="9" fillId="8" borderId="29" xfId="0" applyFont="1" applyFill="1" applyBorder="1" applyAlignment="1">
      <alignment horizontal="center" vertical="center"/>
    </xf>
    <xf numFmtId="14" fontId="10" fillId="8" borderId="1" xfId="0" applyNumberFormat="1" applyFont="1" applyFill="1" applyBorder="1"/>
    <xf numFmtId="14" fontId="10" fillId="8" borderId="2" xfId="0" applyNumberFormat="1" applyFont="1" applyFill="1" applyBorder="1"/>
    <xf numFmtId="0" fontId="10" fillId="8" borderId="0" xfId="0" applyFont="1" applyFill="1"/>
    <xf numFmtId="2" fontId="0" fillId="0" borderId="0" xfId="0" applyNumberFormat="1"/>
    <xf numFmtId="14" fontId="0" fillId="9" borderId="1" xfId="0" applyNumberFormat="1" applyFill="1" applyBorder="1"/>
    <xf numFmtId="14" fontId="0" fillId="9" borderId="2" xfId="0" applyNumberFormat="1" applyFill="1" applyBorder="1"/>
    <xf numFmtId="14" fontId="0" fillId="10" borderId="1" xfId="0" applyNumberFormat="1" applyFill="1" applyBorder="1"/>
    <xf numFmtId="14" fontId="0" fillId="10" borderId="30" xfId="0" applyNumberFormat="1" applyFill="1" applyBorder="1"/>
    <xf numFmtId="14" fontId="0" fillId="10" borderId="2" xfId="0" applyNumberFormat="1" applyFill="1" applyBorder="1"/>
    <xf numFmtId="14" fontId="0" fillId="11" borderId="1" xfId="0" applyNumberFormat="1" applyFill="1" applyBorder="1"/>
    <xf numFmtId="14" fontId="0" fillId="11" borderId="2" xfId="0" applyNumberFormat="1" applyFill="1" applyBorder="1"/>
    <xf numFmtId="14" fontId="0" fillId="12" borderId="1" xfId="0" applyNumberFormat="1" applyFill="1" applyBorder="1"/>
    <xf numFmtId="14" fontId="0" fillId="12" borderId="30" xfId="0" applyNumberFormat="1" applyFill="1" applyBorder="1"/>
    <xf numFmtId="0" fontId="7" fillId="2" borderId="18" xfId="0" applyFont="1" applyFill="1" applyBorder="1" applyAlignment="1">
      <alignment horizontal="center" vertical="center" wrapText="1"/>
    </xf>
    <xf numFmtId="164" fontId="7" fillId="2" borderId="18" xfId="0" applyNumberFormat="1" applyFont="1" applyFill="1" applyBorder="1" applyAlignment="1">
      <alignment horizontal="center" vertical="center" wrapText="1"/>
    </xf>
    <xf numFmtId="0" fontId="7" fillId="10" borderId="18" xfId="0" applyFont="1" applyFill="1" applyBorder="1" applyAlignment="1">
      <alignment horizontal="center" vertical="center" wrapText="1"/>
    </xf>
    <xf numFmtId="0" fontId="7" fillId="9" borderId="18" xfId="0" applyFont="1" applyFill="1" applyBorder="1" applyAlignment="1">
      <alignment horizontal="center" vertical="center" wrapText="1"/>
    </xf>
    <xf numFmtId="2" fontId="1" fillId="6" borderId="0" xfId="0" applyNumberFormat="1" applyFont="1" applyFill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49" fontId="1" fillId="2" borderId="19" xfId="0" applyNumberFormat="1" applyFont="1" applyFill="1" applyBorder="1" applyAlignment="1">
      <alignment horizontal="center" vertical="center"/>
    </xf>
    <xf numFmtId="49" fontId="1" fillId="2" borderId="20" xfId="0" applyNumberFormat="1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2" fillId="2" borderId="21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164" fontId="5" fillId="4" borderId="4" xfId="0" applyNumberFormat="1" applyFont="1" applyFill="1" applyBorder="1" applyAlignment="1">
      <alignment horizontal="center" vertical="center"/>
    </xf>
    <xf numFmtId="164" fontId="5" fillId="4" borderId="5" xfId="0" applyNumberFormat="1" applyFont="1" applyFill="1" applyBorder="1" applyAlignment="1">
      <alignment horizontal="center" vertical="center"/>
    </xf>
    <xf numFmtId="164" fontId="5" fillId="4" borderId="6" xfId="0" applyNumberFormat="1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/>
    </xf>
  </cellXfs>
  <cellStyles count="1"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[mm]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[mm]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ck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526D7A"/>
      <color rgb="FF5D7A89"/>
      <color rgb="FF305E6E"/>
      <color rgb="FF40545E"/>
      <color rgb="FF607D8B"/>
      <color rgb="FF3E79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57150</xdr:rowOff>
        </xdr:from>
        <xdr:to>
          <xdr:col>8</xdr:col>
          <xdr:colOff>1238250</xdr:colOff>
          <xdr:row>1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87630</xdr:colOff>
          <xdr:row>2</xdr:row>
          <xdr:rowOff>57150</xdr:rowOff>
        </xdr:from>
        <xdr:to>
          <xdr:col>8</xdr:col>
          <xdr:colOff>1245870</xdr:colOff>
          <xdr:row>3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Rechercher par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80010</xdr:colOff>
          <xdr:row>4</xdr:row>
          <xdr:rowOff>38100</xdr:rowOff>
        </xdr:from>
        <xdr:to>
          <xdr:col>8</xdr:col>
          <xdr:colOff>1242060</xdr:colOff>
          <xdr:row>5</xdr:row>
          <xdr:rowOff>87630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Sans Filtre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4;%20imprimer%20avant%20noe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  "/>
      <sheetName val="impressions"/>
      <sheetName val="Biceps"/>
      <sheetName val="Shoulder"/>
      <sheetName val="Torse"/>
      <sheetName val="Cou"/>
      <sheetName val="Head (3)"/>
      <sheetName val="LeftHand (4)"/>
      <sheetName val="Stomach (3)"/>
      <sheetName val="Back(2)"/>
      <sheetName val="extra"/>
    </sheetNames>
    <sheetDataSet>
      <sheetData sheetId="0">
        <row r="8">
          <cell r="C8" t="str">
            <v>lefttopsurfaceUP6</v>
          </cell>
          <cell r="K8">
            <v>0</v>
          </cell>
        </row>
        <row r="9">
          <cell r="K9">
            <v>1</v>
          </cell>
        </row>
        <row r="10">
          <cell r="K10">
            <v>1</v>
          </cell>
        </row>
        <row r="11">
          <cell r="K11">
            <v>1</v>
          </cell>
        </row>
        <row r="12">
          <cell r="K12">
            <v>2</v>
          </cell>
        </row>
        <row r="13">
          <cell r="K13">
            <v>2</v>
          </cell>
        </row>
        <row r="14">
          <cell r="K14">
            <v>3</v>
          </cell>
        </row>
        <row r="15">
          <cell r="K15">
            <v>3</v>
          </cell>
        </row>
        <row r="16">
          <cell r="K16">
            <v>4</v>
          </cell>
        </row>
        <row r="17">
          <cell r="K17">
            <v>4</v>
          </cell>
        </row>
        <row r="18">
          <cell r="K18">
            <v>5</v>
          </cell>
        </row>
        <row r="19">
          <cell r="K19">
            <v>6</v>
          </cell>
        </row>
        <row r="20">
          <cell r="K20">
            <v>7</v>
          </cell>
        </row>
        <row r="21">
          <cell r="K21">
            <v>8</v>
          </cell>
        </row>
        <row r="22">
          <cell r="K22">
            <v>9</v>
          </cell>
        </row>
        <row r="23">
          <cell r="K23">
            <v>10</v>
          </cell>
        </row>
        <row r="24">
          <cell r="K24">
            <v>11</v>
          </cell>
        </row>
        <row r="25">
          <cell r="K25">
            <v>11</v>
          </cell>
        </row>
        <row r="26">
          <cell r="K26">
            <v>11</v>
          </cell>
        </row>
        <row r="27">
          <cell r="K27">
            <v>11</v>
          </cell>
        </row>
        <row r="28">
          <cell r="K28">
            <v>12</v>
          </cell>
        </row>
        <row r="29">
          <cell r="K29">
            <v>13</v>
          </cell>
        </row>
        <row r="30">
          <cell r="K30">
            <v>14</v>
          </cell>
        </row>
        <row r="31">
          <cell r="K31">
            <v>15</v>
          </cell>
        </row>
        <row r="32">
          <cell r="K32">
            <v>15</v>
          </cell>
        </row>
        <row r="33">
          <cell r="K33">
            <v>15</v>
          </cell>
        </row>
        <row r="34">
          <cell r="K34">
            <v>15</v>
          </cell>
        </row>
        <row r="35">
          <cell r="K35">
            <v>16</v>
          </cell>
        </row>
        <row r="36">
          <cell r="K36">
            <v>17</v>
          </cell>
        </row>
        <row r="37">
          <cell r="K37">
            <v>18</v>
          </cell>
        </row>
        <row r="38">
          <cell r="K38">
            <v>18</v>
          </cell>
        </row>
        <row r="39">
          <cell r="K39">
            <v>18</v>
          </cell>
        </row>
        <row r="40">
          <cell r="K40">
            <v>19</v>
          </cell>
        </row>
        <row r="41">
          <cell r="K41">
            <v>19</v>
          </cell>
        </row>
        <row r="42">
          <cell r="K42">
            <v>19</v>
          </cell>
        </row>
        <row r="43">
          <cell r="K43">
            <v>20</v>
          </cell>
        </row>
        <row r="44">
          <cell r="K44">
            <v>20</v>
          </cell>
        </row>
        <row r="45">
          <cell r="K45">
            <v>21</v>
          </cell>
        </row>
        <row r="46">
          <cell r="K46">
            <v>21</v>
          </cell>
        </row>
        <row r="47">
          <cell r="K47">
            <v>22</v>
          </cell>
        </row>
        <row r="48">
          <cell r="K48">
            <v>22</v>
          </cell>
        </row>
        <row r="49">
          <cell r="K49">
            <v>23</v>
          </cell>
        </row>
        <row r="50">
          <cell r="K50">
            <v>23</v>
          </cell>
        </row>
        <row r="51">
          <cell r="K51">
            <v>24</v>
          </cell>
        </row>
        <row r="52">
          <cell r="K52">
            <v>25</v>
          </cell>
        </row>
        <row r="53">
          <cell r="K53">
            <v>26</v>
          </cell>
        </row>
        <row r="54">
          <cell r="K54">
            <v>27</v>
          </cell>
        </row>
        <row r="55">
          <cell r="K55">
            <v>28</v>
          </cell>
        </row>
        <row r="56">
          <cell r="K56">
            <v>29</v>
          </cell>
        </row>
        <row r="57">
          <cell r="K57">
            <v>30</v>
          </cell>
        </row>
        <row r="58">
          <cell r="K58">
            <v>31</v>
          </cell>
        </row>
        <row r="59">
          <cell r="K59">
            <v>31</v>
          </cell>
        </row>
        <row r="60">
          <cell r="K60">
            <v>32</v>
          </cell>
        </row>
        <row r="61">
          <cell r="K61">
            <v>32</v>
          </cell>
        </row>
        <row r="62">
          <cell r="K62">
            <v>33</v>
          </cell>
        </row>
        <row r="63">
          <cell r="K63">
            <v>33</v>
          </cell>
        </row>
        <row r="64">
          <cell r="K64">
            <v>34</v>
          </cell>
        </row>
        <row r="65">
          <cell r="K65">
            <v>34</v>
          </cell>
        </row>
        <row r="66">
          <cell r="K66">
            <v>35</v>
          </cell>
        </row>
        <row r="67">
          <cell r="K67">
            <v>36</v>
          </cell>
        </row>
        <row r="68">
          <cell r="K68">
            <v>37</v>
          </cell>
        </row>
        <row r="69">
          <cell r="K69">
            <v>38</v>
          </cell>
        </row>
        <row r="70">
          <cell r="K70">
            <v>39</v>
          </cell>
        </row>
        <row r="71">
          <cell r="K71">
            <v>40</v>
          </cell>
        </row>
        <row r="72">
          <cell r="K72">
            <v>41</v>
          </cell>
        </row>
        <row r="73">
          <cell r="K73">
            <v>42</v>
          </cell>
        </row>
        <row r="74">
          <cell r="K74">
            <v>43</v>
          </cell>
        </row>
        <row r="75">
          <cell r="K75">
            <v>44</v>
          </cell>
        </row>
        <row r="76">
          <cell r="K76">
            <v>45</v>
          </cell>
        </row>
        <row r="77">
          <cell r="K77">
            <v>45</v>
          </cell>
        </row>
        <row r="78">
          <cell r="K78">
            <v>46</v>
          </cell>
        </row>
        <row r="79">
          <cell r="K79">
            <v>46</v>
          </cell>
        </row>
        <row r="80">
          <cell r="K80">
            <v>47</v>
          </cell>
        </row>
        <row r="81">
          <cell r="K81">
            <v>47</v>
          </cell>
        </row>
        <row r="82">
          <cell r="K82">
            <v>48</v>
          </cell>
        </row>
        <row r="83">
          <cell r="K83">
            <v>48</v>
          </cell>
        </row>
        <row r="84">
          <cell r="K84">
            <v>49</v>
          </cell>
        </row>
        <row r="85">
          <cell r="K85">
            <v>50</v>
          </cell>
        </row>
        <row r="86">
          <cell r="K86">
            <v>51</v>
          </cell>
        </row>
        <row r="87">
          <cell r="K87">
            <v>52</v>
          </cell>
        </row>
        <row r="88">
          <cell r="K88">
            <v>52</v>
          </cell>
        </row>
        <row r="89">
          <cell r="K89">
            <v>53</v>
          </cell>
        </row>
        <row r="90">
          <cell r="K90">
            <v>53</v>
          </cell>
        </row>
        <row r="91">
          <cell r="K91">
            <v>54</v>
          </cell>
        </row>
        <row r="92">
          <cell r="K92">
            <v>56</v>
          </cell>
        </row>
        <row r="93">
          <cell r="K93">
            <v>56</v>
          </cell>
        </row>
        <row r="94">
          <cell r="K94">
            <v>57</v>
          </cell>
        </row>
        <row r="95">
          <cell r="K95">
            <v>57</v>
          </cell>
        </row>
        <row r="96">
          <cell r="K96">
            <v>58</v>
          </cell>
        </row>
        <row r="97">
          <cell r="K97">
            <v>58</v>
          </cell>
        </row>
        <row r="98">
          <cell r="K98">
            <v>59</v>
          </cell>
        </row>
        <row r="99">
          <cell r="K99">
            <v>59</v>
          </cell>
        </row>
        <row r="100">
          <cell r="K100">
            <v>60</v>
          </cell>
        </row>
        <row r="101">
          <cell r="K101">
            <v>60</v>
          </cell>
        </row>
        <row r="102">
          <cell r="K102">
            <v>60</v>
          </cell>
        </row>
        <row r="103">
          <cell r="K103">
            <v>60</v>
          </cell>
        </row>
        <row r="104">
          <cell r="K104">
            <v>60</v>
          </cell>
        </row>
        <row r="105">
          <cell r="K105">
            <v>60</v>
          </cell>
        </row>
        <row r="106">
          <cell r="K106">
            <v>60</v>
          </cell>
        </row>
        <row r="107">
          <cell r="K107">
            <v>61</v>
          </cell>
        </row>
        <row r="108">
          <cell r="K108">
            <v>62</v>
          </cell>
        </row>
        <row r="109">
          <cell r="K109">
            <v>63</v>
          </cell>
        </row>
        <row r="110">
          <cell r="K110">
            <v>64</v>
          </cell>
        </row>
        <row r="111">
          <cell r="K111">
            <v>65</v>
          </cell>
        </row>
        <row r="112">
          <cell r="K112">
            <v>66</v>
          </cell>
        </row>
        <row r="113">
          <cell r="K113">
            <v>67</v>
          </cell>
        </row>
        <row r="114">
          <cell r="K114">
            <v>68</v>
          </cell>
        </row>
        <row r="115">
          <cell r="K115">
            <v>69</v>
          </cell>
        </row>
        <row r="116">
          <cell r="K116">
            <v>70</v>
          </cell>
        </row>
        <row r="117">
          <cell r="K117">
            <v>71</v>
          </cell>
        </row>
        <row r="118">
          <cell r="K118">
            <v>72</v>
          </cell>
        </row>
        <row r="119">
          <cell r="K119">
            <v>73</v>
          </cell>
        </row>
        <row r="120">
          <cell r="K120">
            <v>73</v>
          </cell>
        </row>
        <row r="121">
          <cell r="K121">
            <v>73</v>
          </cell>
        </row>
        <row r="122">
          <cell r="K122">
            <v>73</v>
          </cell>
        </row>
        <row r="123">
          <cell r="K123">
            <v>73</v>
          </cell>
        </row>
        <row r="124">
          <cell r="K124">
            <v>73</v>
          </cell>
        </row>
        <row r="125">
          <cell r="K125">
            <v>74</v>
          </cell>
        </row>
        <row r="126">
          <cell r="K126">
            <v>74</v>
          </cell>
        </row>
        <row r="127">
          <cell r="K127">
            <v>75</v>
          </cell>
        </row>
        <row r="128">
          <cell r="K128">
            <v>76</v>
          </cell>
        </row>
        <row r="129">
          <cell r="K129">
            <v>77</v>
          </cell>
        </row>
        <row r="130">
          <cell r="K130">
            <v>78</v>
          </cell>
        </row>
        <row r="131">
          <cell r="K131">
            <v>79</v>
          </cell>
        </row>
        <row r="132">
          <cell r="K132">
            <v>80</v>
          </cell>
        </row>
        <row r="133">
          <cell r="K133">
            <v>81</v>
          </cell>
        </row>
        <row r="134">
          <cell r="K134">
            <v>82</v>
          </cell>
        </row>
        <row r="135">
          <cell r="K135">
            <v>83</v>
          </cell>
        </row>
        <row r="136">
          <cell r="K136">
            <v>84</v>
          </cell>
        </row>
        <row r="137">
          <cell r="K137">
            <v>85</v>
          </cell>
        </row>
        <row r="138">
          <cell r="K138">
            <v>86</v>
          </cell>
        </row>
        <row r="139">
          <cell r="K139">
            <v>86</v>
          </cell>
        </row>
        <row r="140">
          <cell r="K140">
            <v>87</v>
          </cell>
        </row>
        <row r="141">
          <cell r="K141">
            <v>87</v>
          </cell>
        </row>
        <row r="142">
          <cell r="K142">
            <v>88</v>
          </cell>
        </row>
        <row r="143">
          <cell r="K143">
            <v>88</v>
          </cell>
        </row>
        <row r="144">
          <cell r="K144">
            <v>89</v>
          </cell>
        </row>
        <row r="145">
          <cell r="K145">
            <v>89</v>
          </cell>
        </row>
        <row r="146">
          <cell r="K146">
            <v>90</v>
          </cell>
        </row>
        <row r="147">
          <cell r="K147">
            <v>90</v>
          </cell>
        </row>
        <row r="148">
          <cell r="K148">
            <v>91</v>
          </cell>
        </row>
        <row r="149">
          <cell r="K149">
            <v>91</v>
          </cell>
        </row>
        <row r="150">
          <cell r="K150">
            <v>92</v>
          </cell>
        </row>
        <row r="151">
          <cell r="K151">
            <v>92</v>
          </cell>
        </row>
        <row r="152">
          <cell r="K152">
            <v>93</v>
          </cell>
        </row>
        <row r="153">
          <cell r="K153">
            <v>93</v>
          </cell>
        </row>
        <row r="154">
          <cell r="K154">
            <v>94</v>
          </cell>
        </row>
        <row r="155">
          <cell r="K155">
            <v>94</v>
          </cell>
        </row>
        <row r="156">
          <cell r="K156">
            <v>95</v>
          </cell>
        </row>
        <row r="157">
          <cell r="K157">
            <v>95</v>
          </cell>
        </row>
        <row r="158">
          <cell r="K158">
            <v>96</v>
          </cell>
        </row>
        <row r="159">
          <cell r="K159">
            <v>96</v>
          </cell>
        </row>
        <row r="160">
          <cell r="K160">
            <v>97</v>
          </cell>
        </row>
        <row r="161">
          <cell r="K161">
            <v>97</v>
          </cell>
        </row>
        <row r="162">
          <cell r="K162">
            <v>98</v>
          </cell>
        </row>
        <row r="163">
          <cell r="K163">
            <v>98</v>
          </cell>
        </row>
        <row r="164">
          <cell r="K164">
            <v>99</v>
          </cell>
        </row>
        <row r="165">
          <cell r="K165">
            <v>99</v>
          </cell>
        </row>
        <row r="166">
          <cell r="K166">
            <v>100</v>
          </cell>
        </row>
        <row r="167">
          <cell r="K167">
            <v>100</v>
          </cell>
        </row>
        <row r="168">
          <cell r="K168">
            <v>101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id="1" name="Tableau1" displayName="Tableau1" ref="A7:L232" totalsRowShown="0" headerRowDxfId="16" dataDxfId="14" headerRowBorderDxfId="15" tableBorderDxfId="13">
  <autoFilter ref="A7:L232"/>
  <sortState ref="A8:L23">
    <sortCondition ref="B7:B232"/>
  </sortState>
  <tableColumns count="12">
    <tableColumn id="1" name="Categorie" dataDxfId="12"/>
    <tableColumn id="2" name="Emplacement" dataDxfId="11"/>
    <tableColumn id="3" name="Fichier initial " dataDxfId="10"/>
    <tableColumn id="4" name="Quantite Total" dataDxfId="9"/>
    <tableColumn id="5" name="Quantité à imprimer 12/2017" dataDxfId="8"/>
    <tableColumn id="6" name="Temps de fabrication" dataDxfId="7"/>
    <tableColumn id="7" name="Temps en minutes" dataDxfId="6">
      <calculatedColumnFormula>F8</calculatedColumnFormula>
    </tableColumn>
    <tableColumn id="8" name="Poids(g)" dataDxfId="5"/>
    <tableColumn id="9" name="Temps Total" dataDxfId="4">
      <calculatedColumnFormula>G8*E8</calculatedColumnFormula>
    </tableColumn>
    <tableColumn id="10" name="Poids total (g)" dataDxfId="3">
      <calculatedColumnFormula>E8*H8</calculatedColumnFormula>
    </tableColumn>
    <tableColumn id="16" name="Date Impression" dataDxfId="2">
      <calculatedColumnFormula>IF(Tableau1[[#This Row],[Id Impression]]&lt;&gt;0,WORKDAY(stats!$L$2,Tableau1[[#This Row],[Id Impression]],Férier)-1,0)</calculatedColumnFormula>
    </tableColumn>
    <tableColumn id="11" name="Id Impression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Q310"/>
  <sheetViews>
    <sheetView tabSelected="1" zoomScale="81" zoomScaleNormal="81" workbookViewId="0">
      <selection activeCell="M14" sqref="M14"/>
    </sheetView>
  </sheetViews>
  <sheetFormatPr baseColWidth="10" defaultRowHeight="12.9" x14ac:dyDescent="0.55000000000000004"/>
  <cols>
    <col min="1" max="1" width="12.05078125" style="1" customWidth="1"/>
    <col min="2" max="2" width="15.05078125" style="1" customWidth="1"/>
    <col min="3" max="3" width="24.9453125" style="1" customWidth="1"/>
    <col min="4" max="4" width="14.62890625" style="1" customWidth="1"/>
    <col min="5" max="5" width="24.1015625" style="1" customWidth="1"/>
    <col min="6" max="6" width="18.68359375" style="1" customWidth="1"/>
    <col min="7" max="7" width="18.3671875" style="1" customWidth="1"/>
    <col min="8" max="8" width="10.9453125" style="1"/>
    <col min="9" max="9" width="15.05078125" style="1" bestFit="1" customWidth="1"/>
    <col min="10" max="10" width="12.62890625" style="1" customWidth="1"/>
    <col min="11" max="11" width="12.62890625" style="87" customWidth="1"/>
    <col min="12" max="12" width="18.3671875" style="2" customWidth="1"/>
    <col min="13" max="13" width="10.9453125" style="1"/>
    <col min="14" max="14" width="24.9453125" style="1" customWidth="1"/>
    <col min="15" max="257" width="10.9453125" style="1"/>
    <col min="258" max="258" width="12.05078125" style="1" customWidth="1"/>
    <col min="259" max="259" width="15.05078125" style="1" customWidth="1"/>
    <col min="260" max="260" width="24.9453125" style="1" customWidth="1"/>
    <col min="261" max="261" width="14.62890625" style="1" customWidth="1"/>
    <col min="262" max="262" width="16.26171875" style="1" customWidth="1"/>
    <col min="263" max="263" width="18.68359375" style="1" customWidth="1"/>
    <col min="264" max="264" width="18.3671875" style="1" customWidth="1"/>
    <col min="265" max="265" width="10.9453125" style="1"/>
    <col min="266" max="266" width="18.3671875" style="1" customWidth="1"/>
    <col min="267" max="267" width="10.9453125" style="1"/>
    <col min="268" max="268" width="18.3671875" style="1" customWidth="1"/>
    <col min="269" max="269" width="10.9453125" style="1"/>
    <col min="270" max="270" width="24.9453125" style="1" customWidth="1"/>
    <col min="271" max="513" width="10.9453125" style="1"/>
    <col min="514" max="514" width="12.05078125" style="1" customWidth="1"/>
    <col min="515" max="515" width="15.05078125" style="1" customWidth="1"/>
    <col min="516" max="516" width="24.9453125" style="1" customWidth="1"/>
    <col min="517" max="517" width="14.62890625" style="1" customWidth="1"/>
    <col min="518" max="518" width="16.26171875" style="1" customWidth="1"/>
    <col min="519" max="519" width="18.68359375" style="1" customWidth="1"/>
    <col min="520" max="520" width="18.3671875" style="1" customWidth="1"/>
    <col min="521" max="521" width="10.9453125" style="1"/>
    <col min="522" max="522" width="18.3671875" style="1" customWidth="1"/>
    <col min="523" max="523" width="10.9453125" style="1"/>
    <col min="524" max="524" width="18.3671875" style="1" customWidth="1"/>
    <col min="525" max="525" width="10.9453125" style="1"/>
    <col min="526" max="526" width="24.9453125" style="1" customWidth="1"/>
    <col min="527" max="769" width="10.9453125" style="1"/>
    <col min="770" max="770" width="12.05078125" style="1" customWidth="1"/>
    <col min="771" max="771" width="15.05078125" style="1" customWidth="1"/>
    <col min="772" max="772" width="24.9453125" style="1" customWidth="1"/>
    <col min="773" max="773" width="14.62890625" style="1" customWidth="1"/>
    <col min="774" max="774" width="16.26171875" style="1" customWidth="1"/>
    <col min="775" max="775" width="18.68359375" style="1" customWidth="1"/>
    <col min="776" max="776" width="18.3671875" style="1" customWidth="1"/>
    <col min="777" max="777" width="10.9453125" style="1"/>
    <col min="778" max="778" width="18.3671875" style="1" customWidth="1"/>
    <col min="779" max="779" width="10.9453125" style="1"/>
    <col min="780" max="780" width="18.3671875" style="1" customWidth="1"/>
    <col min="781" max="781" width="10.9453125" style="1"/>
    <col min="782" max="782" width="24.9453125" style="1" customWidth="1"/>
    <col min="783" max="1025" width="10.9453125" style="1"/>
    <col min="1026" max="1026" width="12.05078125" style="1" customWidth="1"/>
    <col min="1027" max="1027" width="15.05078125" style="1" customWidth="1"/>
    <col min="1028" max="1028" width="24.9453125" style="1" customWidth="1"/>
    <col min="1029" max="1029" width="14.62890625" style="1" customWidth="1"/>
    <col min="1030" max="1030" width="16.26171875" style="1" customWidth="1"/>
    <col min="1031" max="1031" width="18.68359375" style="1" customWidth="1"/>
    <col min="1032" max="1032" width="18.3671875" style="1" customWidth="1"/>
    <col min="1033" max="1033" width="10.9453125" style="1"/>
    <col min="1034" max="1034" width="18.3671875" style="1" customWidth="1"/>
    <col min="1035" max="1035" width="10.9453125" style="1"/>
    <col min="1036" max="1036" width="18.3671875" style="1" customWidth="1"/>
    <col min="1037" max="1037" width="10.9453125" style="1"/>
    <col min="1038" max="1038" width="24.9453125" style="1" customWidth="1"/>
    <col min="1039" max="1281" width="10.9453125" style="1"/>
    <col min="1282" max="1282" width="12.05078125" style="1" customWidth="1"/>
    <col min="1283" max="1283" width="15.05078125" style="1" customWidth="1"/>
    <col min="1284" max="1284" width="24.9453125" style="1" customWidth="1"/>
    <col min="1285" max="1285" width="14.62890625" style="1" customWidth="1"/>
    <col min="1286" max="1286" width="16.26171875" style="1" customWidth="1"/>
    <col min="1287" max="1287" width="18.68359375" style="1" customWidth="1"/>
    <col min="1288" max="1288" width="18.3671875" style="1" customWidth="1"/>
    <col min="1289" max="1289" width="10.9453125" style="1"/>
    <col min="1290" max="1290" width="18.3671875" style="1" customWidth="1"/>
    <col min="1291" max="1291" width="10.9453125" style="1"/>
    <col min="1292" max="1292" width="18.3671875" style="1" customWidth="1"/>
    <col min="1293" max="1293" width="10.9453125" style="1"/>
    <col min="1294" max="1294" width="24.9453125" style="1" customWidth="1"/>
    <col min="1295" max="1537" width="10.9453125" style="1"/>
    <col min="1538" max="1538" width="12.05078125" style="1" customWidth="1"/>
    <col min="1539" max="1539" width="15.05078125" style="1" customWidth="1"/>
    <col min="1540" max="1540" width="24.9453125" style="1" customWidth="1"/>
    <col min="1541" max="1541" width="14.62890625" style="1" customWidth="1"/>
    <col min="1542" max="1542" width="16.26171875" style="1" customWidth="1"/>
    <col min="1543" max="1543" width="18.68359375" style="1" customWidth="1"/>
    <col min="1544" max="1544" width="18.3671875" style="1" customWidth="1"/>
    <col min="1545" max="1545" width="10.9453125" style="1"/>
    <col min="1546" max="1546" width="18.3671875" style="1" customWidth="1"/>
    <col min="1547" max="1547" width="10.9453125" style="1"/>
    <col min="1548" max="1548" width="18.3671875" style="1" customWidth="1"/>
    <col min="1549" max="1549" width="10.9453125" style="1"/>
    <col min="1550" max="1550" width="24.9453125" style="1" customWidth="1"/>
    <col min="1551" max="1793" width="10.9453125" style="1"/>
    <col min="1794" max="1794" width="12.05078125" style="1" customWidth="1"/>
    <col min="1795" max="1795" width="15.05078125" style="1" customWidth="1"/>
    <col min="1796" max="1796" width="24.9453125" style="1" customWidth="1"/>
    <col min="1797" max="1797" width="14.62890625" style="1" customWidth="1"/>
    <col min="1798" max="1798" width="16.26171875" style="1" customWidth="1"/>
    <col min="1799" max="1799" width="18.68359375" style="1" customWidth="1"/>
    <col min="1800" max="1800" width="18.3671875" style="1" customWidth="1"/>
    <col min="1801" max="1801" width="10.9453125" style="1"/>
    <col min="1802" max="1802" width="18.3671875" style="1" customWidth="1"/>
    <col min="1803" max="1803" width="10.9453125" style="1"/>
    <col min="1804" max="1804" width="18.3671875" style="1" customWidth="1"/>
    <col min="1805" max="1805" width="10.9453125" style="1"/>
    <col min="1806" max="1806" width="24.9453125" style="1" customWidth="1"/>
    <col min="1807" max="2049" width="10.9453125" style="1"/>
    <col min="2050" max="2050" width="12.05078125" style="1" customWidth="1"/>
    <col min="2051" max="2051" width="15.05078125" style="1" customWidth="1"/>
    <col min="2052" max="2052" width="24.9453125" style="1" customWidth="1"/>
    <col min="2053" max="2053" width="14.62890625" style="1" customWidth="1"/>
    <col min="2054" max="2054" width="16.26171875" style="1" customWidth="1"/>
    <col min="2055" max="2055" width="18.68359375" style="1" customWidth="1"/>
    <col min="2056" max="2056" width="18.3671875" style="1" customWidth="1"/>
    <col min="2057" max="2057" width="10.9453125" style="1"/>
    <col min="2058" max="2058" width="18.3671875" style="1" customWidth="1"/>
    <col min="2059" max="2059" width="10.9453125" style="1"/>
    <col min="2060" max="2060" width="18.3671875" style="1" customWidth="1"/>
    <col min="2061" max="2061" width="10.9453125" style="1"/>
    <col min="2062" max="2062" width="24.9453125" style="1" customWidth="1"/>
    <col min="2063" max="2305" width="10.9453125" style="1"/>
    <col min="2306" max="2306" width="12.05078125" style="1" customWidth="1"/>
    <col min="2307" max="2307" width="15.05078125" style="1" customWidth="1"/>
    <col min="2308" max="2308" width="24.9453125" style="1" customWidth="1"/>
    <col min="2309" max="2309" width="14.62890625" style="1" customWidth="1"/>
    <col min="2310" max="2310" width="16.26171875" style="1" customWidth="1"/>
    <col min="2311" max="2311" width="18.68359375" style="1" customWidth="1"/>
    <col min="2312" max="2312" width="18.3671875" style="1" customWidth="1"/>
    <col min="2313" max="2313" width="10.9453125" style="1"/>
    <col min="2314" max="2314" width="18.3671875" style="1" customWidth="1"/>
    <col min="2315" max="2315" width="10.9453125" style="1"/>
    <col min="2316" max="2316" width="18.3671875" style="1" customWidth="1"/>
    <col min="2317" max="2317" width="10.9453125" style="1"/>
    <col min="2318" max="2318" width="24.9453125" style="1" customWidth="1"/>
    <col min="2319" max="2561" width="10.9453125" style="1"/>
    <col min="2562" max="2562" width="12.05078125" style="1" customWidth="1"/>
    <col min="2563" max="2563" width="15.05078125" style="1" customWidth="1"/>
    <col min="2564" max="2564" width="24.9453125" style="1" customWidth="1"/>
    <col min="2565" max="2565" width="14.62890625" style="1" customWidth="1"/>
    <col min="2566" max="2566" width="16.26171875" style="1" customWidth="1"/>
    <col min="2567" max="2567" width="18.68359375" style="1" customWidth="1"/>
    <col min="2568" max="2568" width="18.3671875" style="1" customWidth="1"/>
    <col min="2569" max="2569" width="10.9453125" style="1"/>
    <col min="2570" max="2570" width="18.3671875" style="1" customWidth="1"/>
    <col min="2571" max="2571" width="10.9453125" style="1"/>
    <col min="2572" max="2572" width="18.3671875" style="1" customWidth="1"/>
    <col min="2573" max="2573" width="10.9453125" style="1"/>
    <col min="2574" max="2574" width="24.9453125" style="1" customWidth="1"/>
    <col min="2575" max="2817" width="10.9453125" style="1"/>
    <col min="2818" max="2818" width="12.05078125" style="1" customWidth="1"/>
    <col min="2819" max="2819" width="15.05078125" style="1" customWidth="1"/>
    <col min="2820" max="2820" width="24.9453125" style="1" customWidth="1"/>
    <col min="2821" max="2821" width="14.62890625" style="1" customWidth="1"/>
    <col min="2822" max="2822" width="16.26171875" style="1" customWidth="1"/>
    <col min="2823" max="2823" width="18.68359375" style="1" customWidth="1"/>
    <col min="2824" max="2824" width="18.3671875" style="1" customWidth="1"/>
    <col min="2825" max="2825" width="10.9453125" style="1"/>
    <col min="2826" max="2826" width="18.3671875" style="1" customWidth="1"/>
    <col min="2827" max="2827" width="10.9453125" style="1"/>
    <col min="2828" max="2828" width="18.3671875" style="1" customWidth="1"/>
    <col min="2829" max="2829" width="10.9453125" style="1"/>
    <col min="2830" max="2830" width="24.9453125" style="1" customWidth="1"/>
    <col min="2831" max="3073" width="10.9453125" style="1"/>
    <col min="3074" max="3074" width="12.05078125" style="1" customWidth="1"/>
    <col min="3075" max="3075" width="15.05078125" style="1" customWidth="1"/>
    <col min="3076" max="3076" width="24.9453125" style="1" customWidth="1"/>
    <col min="3077" max="3077" width="14.62890625" style="1" customWidth="1"/>
    <col min="3078" max="3078" width="16.26171875" style="1" customWidth="1"/>
    <col min="3079" max="3079" width="18.68359375" style="1" customWidth="1"/>
    <col min="3080" max="3080" width="18.3671875" style="1" customWidth="1"/>
    <col min="3081" max="3081" width="10.9453125" style="1"/>
    <col min="3082" max="3082" width="18.3671875" style="1" customWidth="1"/>
    <col min="3083" max="3083" width="10.9453125" style="1"/>
    <col min="3084" max="3084" width="18.3671875" style="1" customWidth="1"/>
    <col min="3085" max="3085" width="10.9453125" style="1"/>
    <col min="3086" max="3086" width="24.9453125" style="1" customWidth="1"/>
    <col min="3087" max="3329" width="10.9453125" style="1"/>
    <col min="3330" max="3330" width="12.05078125" style="1" customWidth="1"/>
    <col min="3331" max="3331" width="15.05078125" style="1" customWidth="1"/>
    <col min="3332" max="3332" width="24.9453125" style="1" customWidth="1"/>
    <col min="3333" max="3333" width="14.62890625" style="1" customWidth="1"/>
    <col min="3334" max="3334" width="16.26171875" style="1" customWidth="1"/>
    <col min="3335" max="3335" width="18.68359375" style="1" customWidth="1"/>
    <col min="3336" max="3336" width="18.3671875" style="1" customWidth="1"/>
    <col min="3337" max="3337" width="10.9453125" style="1"/>
    <col min="3338" max="3338" width="18.3671875" style="1" customWidth="1"/>
    <col min="3339" max="3339" width="10.9453125" style="1"/>
    <col min="3340" max="3340" width="18.3671875" style="1" customWidth="1"/>
    <col min="3341" max="3341" width="10.9453125" style="1"/>
    <col min="3342" max="3342" width="24.9453125" style="1" customWidth="1"/>
    <col min="3343" max="3585" width="10.9453125" style="1"/>
    <col min="3586" max="3586" width="12.05078125" style="1" customWidth="1"/>
    <col min="3587" max="3587" width="15.05078125" style="1" customWidth="1"/>
    <col min="3588" max="3588" width="24.9453125" style="1" customWidth="1"/>
    <col min="3589" max="3589" width="14.62890625" style="1" customWidth="1"/>
    <col min="3590" max="3590" width="16.26171875" style="1" customWidth="1"/>
    <col min="3591" max="3591" width="18.68359375" style="1" customWidth="1"/>
    <col min="3592" max="3592" width="18.3671875" style="1" customWidth="1"/>
    <col min="3593" max="3593" width="10.9453125" style="1"/>
    <col min="3594" max="3594" width="18.3671875" style="1" customWidth="1"/>
    <col min="3595" max="3595" width="10.9453125" style="1"/>
    <col min="3596" max="3596" width="18.3671875" style="1" customWidth="1"/>
    <col min="3597" max="3597" width="10.9453125" style="1"/>
    <col min="3598" max="3598" width="24.9453125" style="1" customWidth="1"/>
    <col min="3599" max="3841" width="10.9453125" style="1"/>
    <col min="3842" max="3842" width="12.05078125" style="1" customWidth="1"/>
    <col min="3843" max="3843" width="15.05078125" style="1" customWidth="1"/>
    <col min="3844" max="3844" width="24.9453125" style="1" customWidth="1"/>
    <col min="3845" max="3845" width="14.62890625" style="1" customWidth="1"/>
    <col min="3846" max="3846" width="16.26171875" style="1" customWidth="1"/>
    <col min="3847" max="3847" width="18.68359375" style="1" customWidth="1"/>
    <col min="3848" max="3848" width="18.3671875" style="1" customWidth="1"/>
    <col min="3849" max="3849" width="10.9453125" style="1"/>
    <col min="3850" max="3850" width="18.3671875" style="1" customWidth="1"/>
    <col min="3851" max="3851" width="10.9453125" style="1"/>
    <col min="3852" max="3852" width="18.3671875" style="1" customWidth="1"/>
    <col min="3853" max="3853" width="10.9453125" style="1"/>
    <col min="3854" max="3854" width="24.9453125" style="1" customWidth="1"/>
    <col min="3855" max="4097" width="10.9453125" style="1"/>
    <col min="4098" max="4098" width="12.05078125" style="1" customWidth="1"/>
    <col min="4099" max="4099" width="15.05078125" style="1" customWidth="1"/>
    <col min="4100" max="4100" width="24.9453125" style="1" customWidth="1"/>
    <col min="4101" max="4101" width="14.62890625" style="1" customWidth="1"/>
    <col min="4102" max="4102" width="16.26171875" style="1" customWidth="1"/>
    <col min="4103" max="4103" width="18.68359375" style="1" customWidth="1"/>
    <col min="4104" max="4104" width="18.3671875" style="1" customWidth="1"/>
    <col min="4105" max="4105" width="10.9453125" style="1"/>
    <col min="4106" max="4106" width="18.3671875" style="1" customWidth="1"/>
    <col min="4107" max="4107" width="10.9453125" style="1"/>
    <col min="4108" max="4108" width="18.3671875" style="1" customWidth="1"/>
    <col min="4109" max="4109" width="10.9453125" style="1"/>
    <col min="4110" max="4110" width="24.9453125" style="1" customWidth="1"/>
    <col min="4111" max="4353" width="10.9453125" style="1"/>
    <col min="4354" max="4354" width="12.05078125" style="1" customWidth="1"/>
    <col min="4355" max="4355" width="15.05078125" style="1" customWidth="1"/>
    <col min="4356" max="4356" width="24.9453125" style="1" customWidth="1"/>
    <col min="4357" max="4357" width="14.62890625" style="1" customWidth="1"/>
    <col min="4358" max="4358" width="16.26171875" style="1" customWidth="1"/>
    <col min="4359" max="4359" width="18.68359375" style="1" customWidth="1"/>
    <col min="4360" max="4360" width="18.3671875" style="1" customWidth="1"/>
    <col min="4361" max="4361" width="10.9453125" style="1"/>
    <col min="4362" max="4362" width="18.3671875" style="1" customWidth="1"/>
    <col min="4363" max="4363" width="10.9453125" style="1"/>
    <col min="4364" max="4364" width="18.3671875" style="1" customWidth="1"/>
    <col min="4365" max="4365" width="10.9453125" style="1"/>
    <col min="4366" max="4366" width="24.9453125" style="1" customWidth="1"/>
    <col min="4367" max="4609" width="10.9453125" style="1"/>
    <col min="4610" max="4610" width="12.05078125" style="1" customWidth="1"/>
    <col min="4611" max="4611" width="15.05078125" style="1" customWidth="1"/>
    <col min="4612" max="4612" width="24.9453125" style="1" customWidth="1"/>
    <col min="4613" max="4613" width="14.62890625" style="1" customWidth="1"/>
    <col min="4614" max="4614" width="16.26171875" style="1" customWidth="1"/>
    <col min="4615" max="4615" width="18.68359375" style="1" customWidth="1"/>
    <col min="4616" max="4616" width="18.3671875" style="1" customWidth="1"/>
    <col min="4617" max="4617" width="10.9453125" style="1"/>
    <col min="4618" max="4618" width="18.3671875" style="1" customWidth="1"/>
    <col min="4619" max="4619" width="10.9453125" style="1"/>
    <col min="4620" max="4620" width="18.3671875" style="1" customWidth="1"/>
    <col min="4621" max="4621" width="10.9453125" style="1"/>
    <col min="4622" max="4622" width="24.9453125" style="1" customWidth="1"/>
    <col min="4623" max="4865" width="10.9453125" style="1"/>
    <col min="4866" max="4866" width="12.05078125" style="1" customWidth="1"/>
    <col min="4867" max="4867" width="15.05078125" style="1" customWidth="1"/>
    <col min="4868" max="4868" width="24.9453125" style="1" customWidth="1"/>
    <col min="4869" max="4869" width="14.62890625" style="1" customWidth="1"/>
    <col min="4870" max="4870" width="16.26171875" style="1" customWidth="1"/>
    <col min="4871" max="4871" width="18.68359375" style="1" customWidth="1"/>
    <col min="4872" max="4872" width="18.3671875" style="1" customWidth="1"/>
    <col min="4873" max="4873" width="10.9453125" style="1"/>
    <col min="4874" max="4874" width="18.3671875" style="1" customWidth="1"/>
    <col min="4875" max="4875" width="10.9453125" style="1"/>
    <col min="4876" max="4876" width="18.3671875" style="1" customWidth="1"/>
    <col min="4877" max="4877" width="10.9453125" style="1"/>
    <col min="4878" max="4878" width="24.9453125" style="1" customWidth="1"/>
    <col min="4879" max="5121" width="10.9453125" style="1"/>
    <col min="5122" max="5122" width="12.05078125" style="1" customWidth="1"/>
    <col min="5123" max="5123" width="15.05078125" style="1" customWidth="1"/>
    <col min="5124" max="5124" width="24.9453125" style="1" customWidth="1"/>
    <col min="5125" max="5125" width="14.62890625" style="1" customWidth="1"/>
    <col min="5126" max="5126" width="16.26171875" style="1" customWidth="1"/>
    <col min="5127" max="5127" width="18.68359375" style="1" customWidth="1"/>
    <col min="5128" max="5128" width="18.3671875" style="1" customWidth="1"/>
    <col min="5129" max="5129" width="10.9453125" style="1"/>
    <col min="5130" max="5130" width="18.3671875" style="1" customWidth="1"/>
    <col min="5131" max="5131" width="10.9453125" style="1"/>
    <col min="5132" max="5132" width="18.3671875" style="1" customWidth="1"/>
    <col min="5133" max="5133" width="10.9453125" style="1"/>
    <col min="5134" max="5134" width="24.9453125" style="1" customWidth="1"/>
    <col min="5135" max="5377" width="10.9453125" style="1"/>
    <col min="5378" max="5378" width="12.05078125" style="1" customWidth="1"/>
    <col min="5379" max="5379" width="15.05078125" style="1" customWidth="1"/>
    <col min="5380" max="5380" width="24.9453125" style="1" customWidth="1"/>
    <col min="5381" max="5381" width="14.62890625" style="1" customWidth="1"/>
    <col min="5382" max="5382" width="16.26171875" style="1" customWidth="1"/>
    <col min="5383" max="5383" width="18.68359375" style="1" customWidth="1"/>
    <col min="5384" max="5384" width="18.3671875" style="1" customWidth="1"/>
    <col min="5385" max="5385" width="10.9453125" style="1"/>
    <col min="5386" max="5386" width="18.3671875" style="1" customWidth="1"/>
    <col min="5387" max="5387" width="10.9453125" style="1"/>
    <col min="5388" max="5388" width="18.3671875" style="1" customWidth="1"/>
    <col min="5389" max="5389" width="10.9453125" style="1"/>
    <col min="5390" max="5390" width="24.9453125" style="1" customWidth="1"/>
    <col min="5391" max="5633" width="10.9453125" style="1"/>
    <col min="5634" max="5634" width="12.05078125" style="1" customWidth="1"/>
    <col min="5635" max="5635" width="15.05078125" style="1" customWidth="1"/>
    <col min="5636" max="5636" width="24.9453125" style="1" customWidth="1"/>
    <col min="5637" max="5637" width="14.62890625" style="1" customWidth="1"/>
    <col min="5638" max="5638" width="16.26171875" style="1" customWidth="1"/>
    <col min="5639" max="5639" width="18.68359375" style="1" customWidth="1"/>
    <col min="5640" max="5640" width="18.3671875" style="1" customWidth="1"/>
    <col min="5641" max="5641" width="10.9453125" style="1"/>
    <col min="5642" max="5642" width="18.3671875" style="1" customWidth="1"/>
    <col min="5643" max="5643" width="10.9453125" style="1"/>
    <col min="5644" max="5644" width="18.3671875" style="1" customWidth="1"/>
    <col min="5645" max="5645" width="10.9453125" style="1"/>
    <col min="5646" max="5646" width="24.9453125" style="1" customWidth="1"/>
    <col min="5647" max="5889" width="10.9453125" style="1"/>
    <col min="5890" max="5890" width="12.05078125" style="1" customWidth="1"/>
    <col min="5891" max="5891" width="15.05078125" style="1" customWidth="1"/>
    <col min="5892" max="5892" width="24.9453125" style="1" customWidth="1"/>
    <col min="5893" max="5893" width="14.62890625" style="1" customWidth="1"/>
    <col min="5894" max="5894" width="16.26171875" style="1" customWidth="1"/>
    <col min="5895" max="5895" width="18.68359375" style="1" customWidth="1"/>
    <col min="5896" max="5896" width="18.3671875" style="1" customWidth="1"/>
    <col min="5897" max="5897" width="10.9453125" style="1"/>
    <col min="5898" max="5898" width="18.3671875" style="1" customWidth="1"/>
    <col min="5899" max="5899" width="10.9453125" style="1"/>
    <col min="5900" max="5900" width="18.3671875" style="1" customWidth="1"/>
    <col min="5901" max="5901" width="10.9453125" style="1"/>
    <col min="5902" max="5902" width="24.9453125" style="1" customWidth="1"/>
    <col min="5903" max="6145" width="10.9453125" style="1"/>
    <col min="6146" max="6146" width="12.05078125" style="1" customWidth="1"/>
    <col min="6147" max="6147" width="15.05078125" style="1" customWidth="1"/>
    <col min="6148" max="6148" width="24.9453125" style="1" customWidth="1"/>
    <col min="6149" max="6149" width="14.62890625" style="1" customWidth="1"/>
    <col min="6150" max="6150" width="16.26171875" style="1" customWidth="1"/>
    <col min="6151" max="6151" width="18.68359375" style="1" customWidth="1"/>
    <col min="6152" max="6152" width="18.3671875" style="1" customWidth="1"/>
    <col min="6153" max="6153" width="10.9453125" style="1"/>
    <col min="6154" max="6154" width="18.3671875" style="1" customWidth="1"/>
    <col min="6155" max="6155" width="10.9453125" style="1"/>
    <col min="6156" max="6156" width="18.3671875" style="1" customWidth="1"/>
    <col min="6157" max="6157" width="10.9453125" style="1"/>
    <col min="6158" max="6158" width="24.9453125" style="1" customWidth="1"/>
    <col min="6159" max="6401" width="10.9453125" style="1"/>
    <col min="6402" max="6402" width="12.05078125" style="1" customWidth="1"/>
    <col min="6403" max="6403" width="15.05078125" style="1" customWidth="1"/>
    <col min="6404" max="6404" width="24.9453125" style="1" customWidth="1"/>
    <col min="6405" max="6405" width="14.62890625" style="1" customWidth="1"/>
    <col min="6406" max="6406" width="16.26171875" style="1" customWidth="1"/>
    <col min="6407" max="6407" width="18.68359375" style="1" customWidth="1"/>
    <col min="6408" max="6408" width="18.3671875" style="1" customWidth="1"/>
    <col min="6409" max="6409" width="10.9453125" style="1"/>
    <col min="6410" max="6410" width="18.3671875" style="1" customWidth="1"/>
    <col min="6411" max="6411" width="10.9453125" style="1"/>
    <col min="6412" max="6412" width="18.3671875" style="1" customWidth="1"/>
    <col min="6413" max="6413" width="10.9453125" style="1"/>
    <col min="6414" max="6414" width="24.9453125" style="1" customWidth="1"/>
    <col min="6415" max="6657" width="10.9453125" style="1"/>
    <col min="6658" max="6658" width="12.05078125" style="1" customWidth="1"/>
    <col min="6659" max="6659" width="15.05078125" style="1" customWidth="1"/>
    <col min="6660" max="6660" width="24.9453125" style="1" customWidth="1"/>
    <col min="6661" max="6661" width="14.62890625" style="1" customWidth="1"/>
    <col min="6662" max="6662" width="16.26171875" style="1" customWidth="1"/>
    <col min="6663" max="6663" width="18.68359375" style="1" customWidth="1"/>
    <col min="6664" max="6664" width="18.3671875" style="1" customWidth="1"/>
    <col min="6665" max="6665" width="10.9453125" style="1"/>
    <col min="6666" max="6666" width="18.3671875" style="1" customWidth="1"/>
    <col min="6667" max="6667" width="10.9453125" style="1"/>
    <col min="6668" max="6668" width="18.3671875" style="1" customWidth="1"/>
    <col min="6669" max="6669" width="10.9453125" style="1"/>
    <col min="6670" max="6670" width="24.9453125" style="1" customWidth="1"/>
    <col min="6671" max="6913" width="10.9453125" style="1"/>
    <col min="6914" max="6914" width="12.05078125" style="1" customWidth="1"/>
    <col min="6915" max="6915" width="15.05078125" style="1" customWidth="1"/>
    <col min="6916" max="6916" width="24.9453125" style="1" customWidth="1"/>
    <col min="6917" max="6917" width="14.62890625" style="1" customWidth="1"/>
    <col min="6918" max="6918" width="16.26171875" style="1" customWidth="1"/>
    <col min="6919" max="6919" width="18.68359375" style="1" customWidth="1"/>
    <col min="6920" max="6920" width="18.3671875" style="1" customWidth="1"/>
    <col min="6921" max="6921" width="10.9453125" style="1"/>
    <col min="6922" max="6922" width="18.3671875" style="1" customWidth="1"/>
    <col min="6923" max="6923" width="10.9453125" style="1"/>
    <col min="6924" max="6924" width="18.3671875" style="1" customWidth="1"/>
    <col min="6925" max="6925" width="10.9453125" style="1"/>
    <col min="6926" max="6926" width="24.9453125" style="1" customWidth="1"/>
    <col min="6927" max="7169" width="10.9453125" style="1"/>
    <col min="7170" max="7170" width="12.05078125" style="1" customWidth="1"/>
    <col min="7171" max="7171" width="15.05078125" style="1" customWidth="1"/>
    <col min="7172" max="7172" width="24.9453125" style="1" customWidth="1"/>
    <col min="7173" max="7173" width="14.62890625" style="1" customWidth="1"/>
    <col min="7174" max="7174" width="16.26171875" style="1" customWidth="1"/>
    <col min="7175" max="7175" width="18.68359375" style="1" customWidth="1"/>
    <col min="7176" max="7176" width="18.3671875" style="1" customWidth="1"/>
    <col min="7177" max="7177" width="10.9453125" style="1"/>
    <col min="7178" max="7178" width="18.3671875" style="1" customWidth="1"/>
    <col min="7179" max="7179" width="10.9453125" style="1"/>
    <col min="7180" max="7180" width="18.3671875" style="1" customWidth="1"/>
    <col min="7181" max="7181" width="10.9453125" style="1"/>
    <col min="7182" max="7182" width="24.9453125" style="1" customWidth="1"/>
    <col min="7183" max="7425" width="10.9453125" style="1"/>
    <col min="7426" max="7426" width="12.05078125" style="1" customWidth="1"/>
    <col min="7427" max="7427" width="15.05078125" style="1" customWidth="1"/>
    <col min="7428" max="7428" width="24.9453125" style="1" customWidth="1"/>
    <col min="7429" max="7429" width="14.62890625" style="1" customWidth="1"/>
    <col min="7430" max="7430" width="16.26171875" style="1" customWidth="1"/>
    <col min="7431" max="7431" width="18.68359375" style="1" customWidth="1"/>
    <col min="7432" max="7432" width="18.3671875" style="1" customWidth="1"/>
    <col min="7433" max="7433" width="10.9453125" style="1"/>
    <col min="7434" max="7434" width="18.3671875" style="1" customWidth="1"/>
    <col min="7435" max="7435" width="10.9453125" style="1"/>
    <col min="7436" max="7436" width="18.3671875" style="1" customWidth="1"/>
    <col min="7437" max="7437" width="10.9453125" style="1"/>
    <col min="7438" max="7438" width="24.9453125" style="1" customWidth="1"/>
    <col min="7439" max="7681" width="10.9453125" style="1"/>
    <col min="7682" max="7682" width="12.05078125" style="1" customWidth="1"/>
    <col min="7683" max="7683" width="15.05078125" style="1" customWidth="1"/>
    <col min="7684" max="7684" width="24.9453125" style="1" customWidth="1"/>
    <col min="7685" max="7685" width="14.62890625" style="1" customWidth="1"/>
    <col min="7686" max="7686" width="16.26171875" style="1" customWidth="1"/>
    <col min="7687" max="7687" width="18.68359375" style="1" customWidth="1"/>
    <col min="7688" max="7688" width="18.3671875" style="1" customWidth="1"/>
    <col min="7689" max="7689" width="10.9453125" style="1"/>
    <col min="7690" max="7690" width="18.3671875" style="1" customWidth="1"/>
    <col min="7691" max="7691" width="10.9453125" style="1"/>
    <col min="7692" max="7692" width="18.3671875" style="1" customWidth="1"/>
    <col min="7693" max="7693" width="10.9453125" style="1"/>
    <col min="7694" max="7694" width="24.9453125" style="1" customWidth="1"/>
    <col min="7695" max="7937" width="10.9453125" style="1"/>
    <col min="7938" max="7938" width="12.05078125" style="1" customWidth="1"/>
    <col min="7939" max="7939" width="15.05078125" style="1" customWidth="1"/>
    <col min="7940" max="7940" width="24.9453125" style="1" customWidth="1"/>
    <col min="7941" max="7941" width="14.62890625" style="1" customWidth="1"/>
    <col min="7942" max="7942" width="16.26171875" style="1" customWidth="1"/>
    <col min="7943" max="7943" width="18.68359375" style="1" customWidth="1"/>
    <col min="7944" max="7944" width="18.3671875" style="1" customWidth="1"/>
    <col min="7945" max="7945" width="10.9453125" style="1"/>
    <col min="7946" max="7946" width="18.3671875" style="1" customWidth="1"/>
    <col min="7947" max="7947" width="10.9453125" style="1"/>
    <col min="7948" max="7948" width="18.3671875" style="1" customWidth="1"/>
    <col min="7949" max="7949" width="10.9453125" style="1"/>
    <col min="7950" max="7950" width="24.9453125" style="1" customWidth="1"/>
    <col min="7951" max="8193" width="10.9453125" style="1"/>
    <col min="8194" max="8194" width="12.05078125" style="1" customWidth="1"/>
    <col min="8195" max="8195" width="15.05078125" style="1" customWidth="1"/>
    <col min="8196" max="8196" width="24.9453125" style="1" customWidth="1"/>
    <col min="8197" max="8197" width="14.62890625" style="1" customWidth="1"/>
    <col min="8198" max="8198" width="16.26171875" style="1" customWidth="1"/>
    <col min="8199" max="8199" width="18.68359375" style="1" customWidth="1"/>
    <col min="8200" max="8200" width="18.3671875" style="1" customWidth="1"/>
    <col min="8201" max="8201" width="10.9453125" style="1"/>
    <col min="8202" max="8202" width="18.3671875" style="1" customWidth="1"/>
    <col min="8203" max="8203" width="10.9453125" style="1"/>
    <col min="8204" max="8204" width="18.3671875" style="1" customWidth="1"/>
    <col min="8205" max="8205" width="10.9453125" style="1"/>
    <col min="8206" max="8206" width="24.9453125" style="1" customWidth="1"/>
    <col min="8207" max="8449" width="10.9453125" style="1"/>
    <col min="8450" max="8450" width="12.05078125" style="1" customWidth="1"/>
    <col min="8451" max="8451" width="15.05078125" style="1" customWidth="1"/>
    <col min="8452" max="8452" width="24.9453125" style="1" customWidth="1"/>
    <col min="8453" max="8453" width="14.62890625" style="1" customWidth="1"/>
    <col min="8454" max="8454" width="16.26171875" style="1" customWidth="1"/>
    <col min="8455" max="8455" width="18.68359375" style="1" customWidth="1"/>
    <col min="8456" max="8456" width="18.3671875" style="1" customWidth="1"/>
    <col min="8457" max="8457" width="10.9453125" style="1"/>
    <col min="8458" max="8458" width="18.3671875" style="1" customWidth="1"/>
    <col min="8459" max="8459" width="10.9453125" style="1"/>
    <col min="8460" max="8460" width="18.3671875" style="1" customWidth="1"/>
    <col min="8461" max="8461" width="10.9453125" style="1"/>
    <col min="8462" max="8462" width="24.9453125" style="1" customWidth="1"/>
    <col min="8463" max="8705" width="10.9453125" style="1"/>
    <col min="8706" max="8706" width="12.05078125" style="1" customWidth="1"/>
    <col min="8707" max="8707" width="15.05078125" style="1" customWidth="1"/>
    <col min="8708" max="8708" width="24.9453125" style="1" customWidth="1"/>
    <col min="8709" max="8709" width="14.62890625" style="1" customWidth="1"/>
    <col min="8710" max="8710" width="16.26171875" style="1" customWidth="1"/>
    <col min="8711" max="8711" width="18.68359375" style="1" customWidth="1"/>
    <col min="8712" max="8712" width="18.3671875" style="1" customWidth="1"/>
    <col min="8713" max="8713" width="10.9453125" style="1"/>
    <col min="8714" max="8714" width="18.3671875" style="1" customWidth="1"/>
    <col min="8715" max="8715" width="10.9453125" style="1"/>
    <col min="8716" max="8716" width="18.3671875" style="1" customWidth="1"/>
    <col min="8717" max="8717" width="10.9453125" style="1"/>
    <col min="8718" max="8718" width="24.9453125" style="1" customWidth="1"/>
    <col min="8719" max="8961" width="10.9453125" style="1"/>
    <col min="8962" max="8962" width="12.05078125" style="1" customWidth="1"/>
    <col min="8963" max="8963" width="15.05078125" style="1" customWidth="1"/>
    <col min="8964" max="8964" width="24.9453125" style="1" customWidth="1"/>
    <col min="8965" max="8965" width="14.62890625" style="1" customWidth="1"/>
    <col min="8966" max="8966" width="16.26171875" style="1" customWidth="1"/>
    <col min="8967" max="8967" width="18.68359375" style="1" customWidth="1"/>
    <col min="8968" max="8968" width="18.3671875" style="1" customWidth="1"/>
    <col min="8969" max="8969" width="10.9453125" style="1"/>
    <col min="8970" max="8970" width="18.3671875" style="1" customWidth="1"/>
    <col min="8971" max="8971" width="10.9453125" style="1"/>
    <col min="8972" max="8972" width="18.3671875" style="1" customWidth="1"/>
    <col min="8973" max="8973" width="10.9453125" style="1"/>
    <col min="8974" max="8974" width="24.9453125" style="1" customWidth="1"/>
    <col min="8975" max="9217" width="10.9453125" style="1"/>
    <col min="9218" max="9218" width="12.05078125" style="1" customWidth="1"/>
    <col min="9219" max="9219" width="15.05078125" style="1" customWidth="1"/>
    <col min="9220" max="9220" width="24.9453125" style="1" customWidth="1"/>
    <col min="9221" max="9221" width="14.62890625" style="1" customWidth="1"/>
    <col min="9222" max="9222" width="16.26171875" style="1" customWidth="1"/>
    <col min="9223" max="9223" width="18.68359375" style="1" customWidth="1"/>
    <col min="9224" max="9224" width="18.3671875" style="1" customWidth="1"/>
    <col min="9225" max="9225" width="10.9453125" style="1"/>
    <col min="9226" max="9226" width="18.3671875" style="1" customWidth="1"/>
    <col min="9227" max="9227" width="10.9453125" style="1"/>
    <col min="9228" max="9228" width="18.3671875" style="1" customWidth="1"/>
    <col min="9229" max="9229" width="10.9453125" style="1"/>
    <col min="9230" max="9230" width="24.9453125" style="1" customWidth="1"/>
    <col min="9231" max="9473" width="10.9453125" style="1"/>
    <col min="9474" max="9474" width="12.05078125" style="1" customWidth="1"/>
    <col min="9475" max="9475" width="15.05078125" style="1" customWidth="1"/>
    <col min="9476" max="9476" width="24.9453125" style="1" customWidth="1"/>
    <col min="9477" max="9477" width="14.62890625" style="1" customWidth="1"/>
    <col min="9478" max="9478" width="16.26171875" style="1" customWidth="1"/>
    <col min="9479" max="9479" width="18.68359375" style="1" customWidth="1"/>
    <col min="9480" max="9480" width="18.3671875" style="1" customWidth="1"/>
    <col min="9481" max="9481" width="10.9453125" style="1"/>
    <col min="9482" max="9482" width="18.3671875" style="1" customWidth="1"/>
    <col min="9483" max="9483" width="10.9453125" style="1"/>
    <col min="9484" max="9484" width="18.3671875" style="1" customWidth="1"/>
    <col min="9485" max="9485" width="10.9453125" style="1"/>
    <col min="9486" max="9486" width="24.9453125" style="1" customWidth="1"/>
    <col min="9487" max="9729" width="10.9453125" style="1"/>
    <col min="9730" max="9730" width="12.05078125" style="1" customWidth="1"/>
    <col min="9731" max="9731" width="15.05078125" style="1" customWidth="1"/>
    <col min="9732" max="9732" width="24.9453125" style="1" customWidth="1"/>
    <col min="9733" max="9733" width="14.62890625" style="1" customWidth="1"/>
    <col min="9734" max="9734" width="16.26171875" style="1" customWidth="1"/>
    <col min="9735" max="9735" width="18.68359375" style="1" customWidth="1"/>
    <col min="9736" max="9736" width="18.3671875" style="1" customWidth="1"/>
    <col min="9737" max="9737" width="10.9453125" style="1"/>
    <col min="9738" max="9738" width="18.3671875" style="1" customWidth="1"/>
    <col min="9739" max="9739" width="10.9453125" style="1"/>
    <col min="9740" max="9740" width="18.3671875" style="1" customWidth="1"/>
    <col min="9741" max="9741" width="10.9453125" style="1"/>
    <col min="9742" max="9742" width="24.9453125" style="1" customWidth="1"/>
    <col min="9743" max="9985" width="10.9453125" style="1"/>
    <col min="9986" max="9986" width="12.05078125" style="1" customWidth="1"/>
    <col min="9987" max="9987" width="15.05078125" style="1" customWidth="1"/>
    <col min="9988" max="9988" width="24.9453125" style="1" customWidth="1"/>
    <col min="9989" max="9989" width="14.62890625" style="1" customWidth="1"/>
    <col min="9990" max="9990" width="16.26171875" style="1" customWidth="1"/>
    <col min="9991" max="9991" width="18.68359375" style="1" customWidth="1"/>
    <col min="9992" max="9992" width="18.3671875" style="1" customWidth="1"/>
    <col min="9993" max="9993" width="10.9453125" style="1"/>
    <col min="9994" max="9994" width="18.3671875" style="1" customWidth="1"/>
    <col min="9995" max="9995" width="10.9453125" style="1"/>
    <col min="9996" max="9996" width="18.3671875" style="1" customWidth="1"/>
    <col min="9997" max="9997" width="10.9453125" style="1"/>
    <col min="9998" max="9998" width="24.9453125" style="1" customWidth="1"/>
    <col min="9999" max="10241" width="10.9453125" style="1"/>
    <col min="10242" max="10242" width="12.05078125" style="1" customWidth="1"/>
    <col min="10243" max="10243" width="15.05078125" style="1" customWidth="1"/>
    <col min="10244" max="10244" width="24.9453125" style="1" customWidth="1"/>
    <col min="10245" max="10245" width="14.62890625" style="1" customWidth="1"/>
    <col min="10246" max="10246" width="16.26171875" style="1" customWidth="1"/>
    <col min="10247" max="10247" width="18.68359375" style="1" customWidth="1"/>
    <col min="10248" max="10248" width="18.3671875" style="1" customWidth="1"/>
    <col min="10249" max="10249" width="10.9453125" style="1"/>
    <col min="10250" max="10250" width="18.3671875" style="1" customWidth="1"/>
    <col min="10251" max="10251" width="10.9453125" style="1"/>
    <col min="10252" max="10252" width="18.3671875" style="1" customWidth="1"/>
    <col min="10253" max="10253" width="10.9453125" style="1"/>
    <col min="10254" max="10254" width="24.9453125" style="1" customWidth="1"/>
    <col min="10255" max="10497" width="10.9453125" style="1"/>
    <col min="10498" max="10498" width="12.05078125" style="1" customWidth="1"/>
    <col min="10499" max="10499" width="15.05078125" style="1" customWidth="1"/>
    <col min="10500" max="10500" width="24.9453125" style="1" customWidth="1"/>
    <col min="10501" max="10501" width="14.62890625" style="1" customWidth="1"/>
    <col min="10502" max="10502" width="16.26171875" style="1" customWidth="1"/>
    <col min="10503" max="10503" width="18.68359375" style="1" customWidth="1"/>
    <col min="10504" max="10504" width="18.3671875" style="1" customWidth="1"/>
    <col min="10505" max="10505" width="10.9453125" style="1"/>
    <col min="10506" max="10506" width="18.3671875" style="1" customWidth="1"/>
    <col min="10507" max="10507" width="10.9453125" style="1"/>
    <col min="10508" max="10508" width="18.3671875" style="1" customWidth="1"/>
    <col min="10509" max="10509" width="10.9453125" style="1"/>
    <col min="10510" max="10510" width="24.9453125" style="1" customWidth="1"/>
    <col min="10511" max="10753" width="10.9453125" style="1"/>
    <col min="10754" max="10754" width="12.05078125" style="1" customWidth="1"/>
    <col min="10755" max="10755" width="15.05078125" style="1" customWidth="1"/>
    <col min="10756" max="10756" width="24.9453125" style="1" customWidth="1"/>
    <col min="10757" max="10757" width="14.62890625" style="1" customWidth="1"/>
    <col min="10758" max="10758" width="16.26171875" style="1" customWidth="1"/>
    <col min="10759" max="10759" width="18.68359375" style="1" customWidth="1"/>
    <col min="10760" max="10760" width="18.3671875" style="1" customWidth="1"/>
    <col min="10761" max="10761" width="10.9453125" style="1"/>
    <col min="10762" max="10762" width="18.3671875" style="1" customWidth="1"/>
    <col min="10763" max="10763" width="10.9453125" style="1"/>
    <col min="10764" max="10764" width="18.3671875" style="1" customWidth="1"/>
    <col min="10765" max="10765" width="10.9453125" style="1"/>
    <col min="10766" max="10766" width="24.9453125" style="1" customWidth="1"/>
    <col min="10767" max="11009" width="10.9453125" style="1"/>
    <col min="11010" max="11010" width="12.05078125" style="1" customWidth="1"/>
    <col min="11011" max="11011" width="15.05078125" style="1" customWidth="1"/>
    <col min="11012" max="11012" width="24.9453125" style="1" customWidth="1"/>
    <col min="11013" max="11013" width="14.62890625" style="1" customWidth="1"/>
    <col min="11014" max="11014" width="16.26171875" style="1" customWidth="1"/>
    <col min="11015" max="11015" width="18.68359375" style="1" customWidth="1"/>
    <col min="11016" max="11016" width="18.3671875" style="1" customWidth="1"/>
    <col min="11017" max="11017" width="10.9453125" style="1"/>
    <col min="11018" max="11018" width="18.3671875" style="1" customWidth="1"/>
    <col min="11019" max="11019" width="10.9453125" style="1"/>
    <col min="11020" max="11020" width="18.3671875" style="1" customWidth="1"/>
    <col min="11021" max="11021" width="10.9453125" style="1"/>
    <col min="11022" max="11022" width="24.9453125" style="1" customWidth="1"/>
    <col min="11023" max="11265" width="10.9453125" style="1"/>
    <col min="11266" max="11266" width="12.05078125" style="1" customWidth="1"/>
    <col min="11267" max="11267" width="15.05078125" style="1" customWidth="1"/>
    <col min="11268" max="11268" width="24.9453125" style="1" customWidth="1"/>
    <col min="11269" max="11269" width="14.62890625" style="1" customWidth="1"/>
    <col min="11270" max="11270" width="16.26171875" style="1" customWidth="1"/>
    <col min="11271" max="11271" width="18.68359375" style="1" customWidth="1"/>
    <col min="11272" max="11272" width="18.3671875" style="1" customWidth="1"/>
    <col min="11273" max="11273" width="10.9453125" style="1"/>
    <col min="11274" max="11274" width="18.3671875" style="1" customWidth="1"/>
    <col min="11275" max="11275" width="10.9453125" style="1"/>
    <col min="11276" max="11276" width="18.3671875" style="1" customWidth="1"/>
    <col min="11277" max="11277" width="10.9453125" style="1"/>
    <col min="11278" max="11278" width="24.9453125" style="1" customWidth="1"/>
    <col min="11279" max="11521" width="10.9453125" style="1"/>
    <col min="11522" max="11522" width="12.05078125" style="1" customWidth="1"/>
    <col min="11523" max="11523" width="15.05078125" style="1" customWidth="1"/>
    <col min="11524" max="11524" width="24.9453125" style="1" customWidth="1"/>
    <col min="11525" max="11525" width="14.62890625" style="1" customWidth="1"/>
    <col min="11526" max="11526" width="16.26171875" style="1" customWidth="1"/>
    <col min="11527" max="11527" width="18.68359375" style="1" customWidth="1"/>
    <col min="11528" max="11528" width="18.3671875" style="1" customWidth="1"/>
    <col min="11529" max="11529" width="10.9453125" style="1"/>
    <col min="11530" max="11530" width="18.3671875" style="1" customWidth="1"/>
    <col min="11531" max="11531" width="10.9453125" style="1"/>
    <col min="11532" max="11532" width="18.3671875" style="1" customWidth="1"/>
    <col min="11533" max="11533" width="10.9453125" style="1"/>
    <col min="11534" max="11534" width="24.9453125" style="1" customWidth="1"/>
    <col min="11535" max="11777" width="10.9453125" style="1"/>
    <col min="11778" max="11778" width="12.05078125" style="1" customWidth="1"/>
    <col min="11779" max="11779" width="15.05078125" style="1" customWidth="1"/>
    <col min="11780" max="11780" width="24.9453125" style="1" customWidth="1"/>
    <col min="11781" max="11781" width="14.62890625" style="1" customWidth="1"/>
    <col min="11782" max="11782" width="16.26171875" style="1" customWidth="1"/>
    <col min="11783" max="11783" width="18.68359375" style="1" customWidth="1"/>
    <col min="11784" max="11784" width="18.3671875" style="1" customWidth="1"/>
    <col min="11785" max="11785" width="10.9453125" style="1"/>
    <col min="11786" max="11786" width="18.3671875" style="1" customWidth="1"/>
    <col min="11787" max="11787" width="10.9453125" style="1"/>
    <col min="11788" max="11788" width="18.3671875" style="1" customWidth="1"/>
    <col min="11789" max="11789" width="10.9453125" style="1"/>
    <col min="11790" max="11790" width="24.9453125" style="1" customWidth="1"/>
    <col min="11791" max="12033" width="10.9453125" style="1"/>
    <col min="12034" max="12034" width="12.05078125" style="1" customWidth="1"/>
    <col min="12035" max="12035" width="15.05078125" style="1" customWidth="1"/>
    <col min="12036" max="12036" width="24.9453125" style="1" customWidth="1"/>
    <col min="12037" max="12037" width="14.62890625" style="1" customWidth="1"/>
    <col min="12038" max="12038" width="16.26171875" style="1" customWidth="1"/>
    <col min="12039" max="12039" width="18.68359375" style="1" customWidth="1"/>
    <col min="12040" max="12040" width="18.3671875" style="1" customWidth="1"/>
    <col min="12041" max="12041" width="10.9453125" style="1"/>
    <col min="12042" max="12042" width="18.3671875" style="1" customWidth="1"/>
    <col min="12043" max="12043" width="10.9453125" style="1"/>
    <col min="12044" max="12044" width="18.3671875" style="1" customWidth="1"/>
    <col min="12045" max="12045" width="10.9453125" style="1"/>
    <col min="12046" max="12046" width="24.9453125" style="1" customWidth="1"/>
    <col min="12047" max="12289" width="10.9453125" style="1"/>
    <col min="12290" max="12290" width="12.05078125" style="1" customWidth="1"/>
    <col min="12291" max="12291" width="15.05078125" style="1" customWidth="1"/>
    <col min="12292" max="12292" width="24.9453125" style="1" customWidth="1"/>
    <col min="12293" max="12293" width="14.62890625" style="1" customWidth="1"/>
    <col min="12294" max="12294" width="16.26171875" style="1" customWidth="1"/>
    <col min="12295" max="12295" width="18.68359375" style="1" customWidth="1"/>
    <col min="12296" max="12296" width="18.3671875" style="1" customWidth="1"/>
    <col min="12297" max="12297" width="10.9453125" style="1"/>
    <col min="12298" max="12298" width="18.3671875" style="1" customWidth="1"/>
    <col min="12299" max="12299" width="10.9453125" style="1"/>
    <col min="12300" max="12300" width="18.3671875" style="1" customWidth="1"/>
    <col min="12301" max="12301" width="10.9453125" style="1"/>
    <col min="12302" max="12302" width="24.9453125" style="1" customWidth="1"/>
    <col min="12303" max="12545" width="10.9453125" style="1"/>
    <col min="12546" max="12546" width="12.05078125" style="1" customWidth="1"/>
    <col min="12547" max="12547" width="15.05078125" style="1" customWidth="1"/>
    <col min="12548" max="12548" width="24.9453125" style="1" customWidth="1"/>
    <col min="12549" max="12549" width="14.62890625" style="1" customWidth="1"/>
    <col min="12550" max="12550" width="16.26171875" style="1" customWidth="1"/>
    <col min="12551" max="12551" width="18.68359375" style="1" customWidth="1"/>
    <col min="12552" max="12552" width="18.3671875" style="1" customWidth="1"/>
    <col min="12553" max="12553" width="10.9453125" style="1"/>
    <col min="12554" max="12554" width="18.3671875" style="1" customWidth="1"/>
    <col min="12555" max="12555" width="10.9453125" style="1"/>
    <col min="12556" max="12556" width="18.3671875" style="1" customWidth="1"/>
    <col min="12557" max="12557" width="10.9453125" style="1"/>
    <col min="12558" max="12558" width="24.9453125" style="1" customWidth="1"/>
    <col min="12559" max="12801" width="10.9453125" style="1"/>
    <col min="12802" max="12802" width="12.05078125" style="1" customWidth="1"/>
    <col min="12803" max="12803" width="15.05078125" style="1" customWidth="1"/>
    <col min="12804" max="12804" width="24.9453125" style="1" customWidth="1"/>
    <col min="12805" max="12805" width="14.62890625" style="1" customWidth="1"/>
    <col min="12806" max="12806" width="16.26171875" style="1" customWidth="1"/>
    <col min="12807" max="12807" width="18.68359375" style="1" customWidth="1"/>
    <col min="12808" max="12808" width="18.3671875" style="1" customWidth="1"/>
    <col min="12809" max="12809" width="10.9453125" style="1"/>
    <col min="12810" max="12810" width="18.3671875" style="1" customWidth="1"/>
    <col min="12811" max="12811" width="10.9453125" style="1"/>
    <col min="12812" max="12812" width="18.3671875" style="1" customWidth="1"/>
    <col min="12813" max="12813" width="10.9453125" style="1"/>
    <col min="12814" max="12814" width="24.9453125" style="1" customWidth="1"/>
    <col min="12815" max="13057" width="10.9453125" style="1"/>
    <col min="13058" max="13058" width="12.05078125" style="1" customWidth="1"/>
    <col min="13059" max="13059" width="15.05078125" style="1" customWidth="1"/>
    <col min="13060" max="13060" width="24.9453125" style="1" customWidth="1"/>
    <col min="13061" max="13061" width="14.62890625" style="1" customWidth="1"/>
    <col min="13062" max="13062" width="16.26171875" style="1" customWidth="1"/>
    <col min="13063" max="13063" width="18.68359375" style="1" customWidth="1"/>
    <col min="13064" max="13064" width="18.3671875" style="1" customWidth="1"/>
    <col min="13065" max="13065" width="10.9453125" style="1"/>
    <col min="13066" max="13066" width="18.3671875" style="1" customWidth="1"/>
    <col min="13067" max="13067" width="10.9453125" style="1"/>
    <col min="13068" max="13068" width="18.3671875" style="1" customWidth="1"/>
    <col min="13069" max="13069" width="10.9453125" style="1"/>
    <col min="13070" max="13070" width="24.9453125" style="1" customWidth="1"/>
    <col min="13071" max="13313" width="10.9453125" style="1"/>
    <col min="13314" max="13314" width="12.05078125" style="1" customWidth="1"/>
    <col min="13315" max="13315" width="15.05078125" style="1" customWidth="1"/>
    <col min="13316" max="13316" width="24.9453125" style="1" customWidth="1"/>
    <col min="13317" max="13317" width="14.62890625" style="1" customWidth="1"/>
    <col min="13318" max="13318" width="16.26171875" style="1" customWidth="1"/>
    <col min="13319" max="13319" width="18.68359375" style="1" customWidth="1"/>
    <col min="13320" max="13320" width="18.3671875" style="1" customWidth="1"/>
    <col min="13321" max="13321" width="10.9453125" style="1"/>
    <col min="13322" max="13322" width="18.3671875" style="1" customWidth="1"/>
    <col min="13323" max="13323" width="10.9453125" style="1"/>
    <col min="13324" max="13324" width="18.3671875" style="1" customWidth="1"/>
    <col min="13325" max="13325" width="10.9453125" style="1"/>
    <col min="13326" max="13326" width="24.9453125" style="1" customWidth="1"/>
    <col min="13327" max="13569" width="10.9453125" style="1"/>
    <col min="13570" max="13570" width="12.05078125" style="1" customWidth="1"/>
    <col min="13571" max="13571" width="15.05078125" style="1" customWidth="1"/>
    <col min="13572" max="13572" width="24.9453125" style="1" customWidth="1"/>
    <col min="13573" max="13573" width="14.62890625" style="1" customWidth="1"/>
    <col min="13574" max="13574" width="16.26171875" style="1" customWidth="1"/>
    <col min="13575" max="13575" width="18.68359375" style="1" customWidth="1"/>
    <col min="13576" max="13576" width="18.3671875" style="1" customWidth="1"/>
    <col min="13577" max="13577" width="10.9453125" style="1"/>
    <col min="13578" max="13578" width="18.3671875" style="1" customWidth="1"/>
    <col min="13579" max="13579" width="10.9453125" style="1"/>
    <col min="13580" max="13580" width="18.3671875" style="1" customWidth="1"/>
    <col min="13581" max="13581" width="10.9453125" style="1"/>
    <col min="13582" max="13582" width="24.9453125" style="1" customWidth="1"/>
    <col min="13583" max="13825" width="10.9453125" style="1"/>
    <col min="13826" max="13826" width="12.05078125" style="1" customWidth="1"/>
    <col min="13827" max="13827" width="15.05078125" style="1" customWidth="1"/>
    <col min="13828" max="13828" width="24.9453125" style="1" customWidth="1"/>
    <col min="13829" max="13829" width="14.62890625" style="1" customWidth="1"/>
    <col min="13830" max="13830" width="16.26171875" style="1" customWidth="1"/>
    <col min="13831" max="13831" width="18.68359375" style="1" customWidth="1"/>
    <col min="13832" max="13832" width="18.3671875" style="1" customWidth="1"/>
    <col min="13833" max="13833" width="10.9453125" style="1"/>
    <col min="13834" max="13834" width="18.3671875" style="1" customWidth="1"/>
    <col min="13835" max="13835" width="10.9453125" style="1"/>
    <col min="13836" max="13836" width="18.3671875" style="1" customWidth="1"/>
    <col min="13837" max="13837" width="10.9453125" style="1"/>
    <col min="13838" max="13838" width="24.9453125" style="1" customWidth="1"/>
    <col min="13839" max="14081" width="10.9453125" style="1"/>
    <col min="14082" max="14082" width="12.05078125" style="1" customWidth="1"/>
    <col min="14083" max="14083" width="15.05078125" style="1" customWidth="1"/>
    <col min="14084" max="14084" width="24.9453125" style="1" customWidth="1"/>
    <col min="14085" max="14085" width="14.62890625" style="1" customWidth="1"/>
    <col min="14086" max="14086" width="16.26171875" style="1" customWidth="1"/>
    <col min="14087" max="14087" width="18.68359375" style="1" customWidth="1"/>
    <col min="14088" max="14088" width="18.3671875" style="1" customWidth="1"/>
    <col min="14089" max="14089" width="10.9453125" style="1"/>
    <col min="14090" max="14090" width="18.3671875" style="1" customWidth="1"/>
    <col min="14091" max="14091" width="10.9453125" style="1"/>
    <col min="14092" max="14092" width="18.3671875" style="1" customWidth="1"/>
    <col min="14093" max="14093" width="10.9453125" style="1"/>
    <col min="14094" max="14094" width="24.9453125" style="1" customWidth="1"/>
    <col min="14095" max="14337" width="10.9453125" style="1"/>
    <col min="14338" max="14338" width="12.05078125" style="1" customWidth="1"/>
    <col min="14339" max="14339" width="15.05078125" style="1" customWidth="1"/>
    <col min="14340" max="14340" width="24.9453125" style="1" customWidth="1"/>
    <col min="14341" max="14341" width="14.62890625" style="1" customWidth="1"/>
    <col min="14342" max="14342" width="16.26171875" style="1" customWidth="1"/>
    <col min="14343" max="14343" width="18.68359375" style="1" customWidth="1"/>
    <col min="14344" max="14344" width="18.3671875" style="1" customWidth="1"/>
    <col min="14345" max="14345" width="10.9453125" style="1"/>
    <col min="14346" max="14346" width="18.3671875" style="1" customWidth="1"/>
    <col min="14347" max="14347" width="10.9453125" style="1"/>
    <col min="14348" max="14348" width="18.3671875" style="1" customWidth="1"/>
    <col min="14349" max="14349" width="10.9453125" style="1"/>
    <col min="14350" max="14350" width="24.9453125" style="1" customWidth="1"/>
    <col min="14351" max="14593" width="10.9453125" style="1"/>
    <col min="14594" max="14594" width="12.05078125" style="1" customWidth="1"/>
    <col min="14595" max="14595" width="15.05078125" style="1" customWidth="1"/>
    <col min="14596" max="14596" width="24.9453125" style="1" customWidth="1"/>
    <col min="14597" max="14597" width="14.62890625" style="1" customWidth="1"/>
    <col min="14598" max="14598" width="16.26171875" style="1" customWidth="1"/>
    <col min="14599" max="14599" width="18.68359375" style="1" customWidth="1"/>
    <col min="14600" max="14600" width="18.3671875" style="1" customWidth="1"/>
    <col min="14601" max="14601" width="10.9453125" style="1"/>
    <col min="14602" max="14602" width="18.3671875" style="1" customWidth="1"/>
    <col min="14603" max="14603" width="10.9453125" style="1"/>
    <col min="14604" max="14604" width="18.3671875" style="1" customWidth="1"/>
    <col min="14605" max="14605" width="10.9453125" style="1"/>
    <col min="14606" max="14606" width="24.9453125" style="1" customWidth="1"/>
    <col min="14607" max="14849" width="10.9453125" style="1"/>
    <col min="14850" max="14850" width="12.05078125" style="1" customWidth="1"/>
    <col min="14851" max="14851" width="15.05078125" style="1" customWidth="1"/>
    <col min="14852" max="14852" width="24.9453125" style="1" customWidth="1"/>
    <col min="14853" max="14853" width="14.62890625" style="1" customWidth="1"/>
    <col min="14854" max="14854" width="16.26171875" style="1" customWidth="1"/>
    <col min="14855" max="14855" width="18.68359375" style="1" customWidth="1"/>
    <col min="14856" max="14856" width="18.3671875" style="1" customWidth="1"/>
    <col min="14857" max="14857" width="10.9453125" style="1"/>
    <col min="14858" max="14858" width="18.3671875" style="1" customWidth="1"/>
    <col min="14859" max="14859" width="10.9453125" style="1"/>
    <col min="14860" max="14860" width="18.3671875" style="1" customWidth="1"/>
    <col min="14861" max="14861" width="10.9453125" style="1"/>
    <col min="14862" max="14862" width="24.9453125" style="1" customWidth="1"/>
    <col min="14863" max="15105" width="10.9453125" style="1"/>
    <col min="15106" max="15106" width="12.05078125" style="1" customWidth="1"/>
    <col min="15107" max="15107" width="15.05078125" style="1" customWidth="1"/>
    <col min="15108" max="15108" width="24.9453125" style="1" customWidth="1"/>
    <col min="15109" max="15109" width="14.62890625" style="1" customWidth="1"/>
    <col min="15110" max="15110" width="16.26171875" style="1" customWidth="1"/>
    <col min="15111" max="15111" width="18.68359375" style="1" customWidth="1"/>
    <col min="15112" max="15112" width="18.3671875" style="1" customWidth="1"/>
    <col min="15113" max="15113" width="10.9453125" style="1"/>
    <col min="15114" max="15114" width="18.3671875" style="1" customWidth="1"/>
    <col min="15115" max="15115" width="10.9453125" style="1"/>
    <col min="15116" max="15116" width="18.3671875" style="1" customWidth="1"/>
    <col min="15117" max="15117" width="10.9453125" style="1"/>
    <col min="15118" max="15118" width="24.9453125" style="1" customWidth="1"/>
    <col min="15119" max="15361" width="10.9453125" style="1"/>
    <col min="15362" max="15362" width="12.05078125" style="1" customWidth="1"/>
    <col min="15363" max="15363" width="15.05078125" style="1" customWidth="1"/>
    <col min="15364" max="15364" width="24.9453125" style="1" customWidth="1"/>
    <col min="15365" max="15365" width="14.62890625" style="1" customWidth="1"/>
    <col min="15366" max="15366" width="16.26171875" style="1" customWidth="1"/>
    <col min="15367" max="15367" width="18.68359375" style="1" customWidth="1"/>
    <col min="15368" max="15368" width="18.3671875" style="1" customWidth="1"/>
    <col min="15369" max="15369" width="10.9453125" style="1"/>
    <col min="15370" max="15370" width="18.3671875" style="1" customWidth="1"/>
    <col min="15371" max="15371" width="10.9453125" style="1"/>
    <col min="15372" max="15372" width="18.3671875" style="1" customWidth="1"/>
    <col min="15373" max="15373" width="10.9453125" style="1"/>
    <col min="15374" max="15374" width="24.9453125" style="1" customWidth="1"/>
    <col min="15375" max="15617" width="10.9453125" style="1"/>
    <col min="15618" max="15618" width="12.05078125" style="1" customWidth="1"/>
    <col min="15619" max="15619" width="15.05078125" style="1" customWidth="1"/>
    <col min="15620" max="15620" width="24.9453125" style="1" customWidth="1"/>
    <col min="15621" max="15621" width="14.62890625" style="1" customWidth="1"/>
    <col min="15622" max="15622" width="16.26171875" style="1" customWidth="1"/>
    <col min="15623" max="15623" width="18.68359375" style="1" customWidth="1"/>
    <col min="15624" max="15624" width="18.3671875" style="1" customWidth="1"/>
    <col min="15625" max="15625" width="10.9453125" style="1"/>
    <col min="15626" max="15626" width="18.3671875" style="1" customWidth="1"/>
    <col min="15627" max="15627" width="10.9453125" style="1"/>
    <col min="15628" max="15628" width="18.3671875" style="1" customWidth="1"/>
    <col min="15629" max="15629" width="10.9453125" style="1"/>
    <col min="15630" max="15630" width="24.9453125" style="1" customWidth="1"/>
    <col min="15631" max="15873" width="10.9453125" style="1"/>
    <col min="15874" max="15874" width="12.05078125" style="1" customWidth="1"/>
    <col min="15875" max="15875" width="15.05078125" style="1" customWidth="1"/>
    <col min="15876" max="15876" width="24.9453125" style="1" customWidth="1"/>
    <col min="15877" max="15877" width="14.62890625" style="1" customWidth="1"/>
    <col min="15878" max="15878" width="16.26171875" style="1" customWidth="1"/>
    <col min="15879" max="15879" width="18.68359375" style="1" customWidth="1"/>
    <col min="15880" max="15880" width="18.3671875" style="1" customWidth="1"/>
    <col min="15881" max="15881" width="10.9453125" style="1"/>
    <col min="15882" max="15882" width="18.3671875" style="1" customWidth="1"/>
    <col min="15883" max="15883" width="10.9453125" style="1"/>
    <col min="15884" max="15884" width="18.3671875" style="1" customWidth="1"/>
    <col min="15885" max="15885" width="10.9453125" style="1"/>
    <col min="15886" max="15886" width="24.9453125" style="1" customWidth="1"/>
    <col min="15887" max="16129" width="10.9453125" style="1"/>
    <col min="16130" max="16130" width="12.05078125" style="1" customWidth="1"/>
    <col min="16131" max="16131" width="15.05078125" style="1" customWidth="1"/>
    <col min="16132" max="16132" width="24.9453125" style="1" customWidth="1"/>
    <col min="16133" max="16133" width="14.62890625" style="1" customWidth="1"/>
    <col min="16134" max="16134" width="16.26171875" style="1" customWidth="1"/>
    <col min="16135" max="16135" width="18.68359375" style="1" customWidth="1"/>
    <col min="16136" max="16136" width="18.3671875" style="1" customWidth="1"/>
    <col min="16137" max="16137" width="10.9453125" style="1"/>
    <col min="16138" max="16138" width="18.3671875" style="1" customWidth="1"/>
    <col min="16139" max="16139" width="10.9453125" style="1"/>
    <col min="16140" max="16140" width="18.3671875" style="1" customWidth="1"/>
    <col min="16141" max="16141" width="10.9453125" style="1"/>
    <col min="16142" max="16142" width="24.9453125" style="1" customWidth="1"/>
    <col min="16143" max="16384" width="10.9453125" style="1"/>
  </cols>
  <sheetData>
    <row r="1" spans="1:17" ht="14.4" customHeight="1" thickTop="1" thickBot="1" x14ac:dyDescent="0.6">
      <c r="A1" s="55"/>
      <c r="B1" s="55"/>
      <c r="C1" s="55"/>
      <c r="D1" s="55"/>
      <c r="E1" s="55"/>
      <c r="F1" s="112" t="s">
        <v>272</v>
      </c>
      <c r="G1" s="114" t="s">
        <v>274</v>
      </c>
      <c r="H1" s="116"/>
      <c r="I1" s="116"/>
      <c r="J1" s="66"/>
      <c r="K1" s="84"/>
      <c r="L1" s="67"/>
      <c r="M1" s="66"/>
      <c r="N1" s="66"/>
      <c r="O1" s="66"/>
      <c r="P1" s="66"/>
      <c r="Q1" s="66"/>
    </row>
    <row r="2" spans="1:17" ht="13.2" thickBot="1" x14ac:dyDescent="0.6">
      <c r="A2" s="56"/>
      <c r="B2" s="57"/>
      <c r="C2" s="60" t="s">
        <v>0</v>
      </c>
      <c r="D2" s="61">
        <f>SUM(I:I)</f>
        <v>18.62638888888889</v>
      </c>
      <c r="E2" s="55"/>
      <c r="F2" s="113"/>
      <c r="G2" s="115"/>
      <c r="H2" s="116"/>
      <c r="I2" s="116"/>
      <c r="J2" s="66"/>
      <c r="K2" s="84"/>
      <c r="L2" s="67"/>
      <c r="M2" s="66">
        <f>FREQUENCY(L8:L23,Id_Impression)</f>
        <v>1</v>
      </c>
      <c r="N2" s="68"/>
      <c r="O2" s="67"/>
      <c r="P2" s="66"/>
      <c r="Q2" s="66"/>
    </row>
    <row r="3" spans="1:17" ht="13.2" thickTop="1" x14ac:dyDescent="0.55000000000000004">
      <c r="A3" s="55"/>
      <c r="B3" s="55"/>
      <c r="C3" s="62" t="s">
        <v>1</v>
      </c>
      <c r="D3" s="63">
        <f>D2/60</f>
        <v>0.31043981481481481</v>
      </c>
      <c r="E3" s="55"/>
      <c r="F3" s="117" t="s">
        <v>273</v>
      </c>
      <c r="G3" s="119">
        <v>11</v>
      </c>
      <c r="H3" s="116"/>
      <c r="I3" s="116"/>
      <c r="J3" s="66"/>
      <c r="K3" s="84"/>
      <c r="L3" s="67"/>
      <c r="M3" s="66"/>
      <c r="N3" s="66"/>
      <c r="O3" s="66"/>
      <c r="P3" s="66"/>
      <c r="Q3" s="66"/>
    </row>
    <row r="4" spans="1:17" ht="13.2" thickBot="1" x14ac:dyDescent="0.6">
      <c r="A4" s="55"/>
      <c r="B4" s="55"/>
      <c r="C4" s="62" t="s">
        <v>2</v>
      </c>
      <c r="D4" s="63">
        <f>D3/24</f>
        <v>1.2934992283950618E-2</v>
      </c>
      <c r="E4" s="55"/>
      <c r="F4" s="118"/>
      <c r="G4" s="120"/>
      <c r="H4" s="116"/>
      <c r="I4" s="116"/>
      <c r="J4" s="66"/>
      <c r="K4" s="84"/>
      <c r="L4" s="67"/>
      <c r="M4" s="66"/>
      <c r="N4" s="66"/>
      <c r="O4" s="66"/>
      <c r="P4" s="66"/>
      <c r="Q4" s="66"/>
    </row>
    <row r="5" spans="1:17" ht="13.5" thickTop="1" thickBot="1" x14ac:dyDescent="0.6">
      <c r="A5" s="55"/>
      <c r="B5" s="58"/>
      <c r="C5" s="64" t="s">
        <v>3</v>
      </c>
      <c r="D5" s="65">
        <f>SUM(J:J)</f>
        <v>4287.5300000000025</v>
      </c>
      <c r="E5" s="55"/>
      <c r="F5" s="55"/>
      <c r="G5" s="59"/>
      <c r="H5" s="111"/>
      <c r="I5" s="111"/>
      <c r="J5" s="66"/>
      <c r="K5" s="84"/>
      <c r="L5" s="67"/>
      <c r="M5" s="66"/>
      <c r="N5" s="66"/>
      <c r="O5" s="66"/>
      <c r="P5" s="66"/>
      <c r="Q5" s="66"/>
    </row>
    <row r="6" spans="1:17" x14ac:dyDescent="0.55000000000000004">
      <c r="A6" s="55"/>
      <c r="B6" s="55"/>
      <c r="C6" s="55"/>
      <c r="D6" s="55"/>
      <c r="E6" s="55"/>
      <c r="F6" s="55"/>
      <c r="G6" s="55"/>
      <c r="H6" s="111"/>
      <c r="I6" s="111"/>
      <c r="J6" s="66"/>
      <c r="K6" s="84"/>
      <c r="L6" s="67"/>
      <c r="M6" s="66"/>
      <c r="N6" s="66"/>
      <c r="O6" s="66"/>
      <c r="P6" s="66"/>
      <c r="Q6" s="66"/>
    </row>
    <row r="7" spans="1:17" ht="27" customHeight="1" thickBot="1" x14ac:dyDescent="0.6">
      <c r="A7" s="50" t="s">
        <v>4</v>
      </c>
      <c r="B7" s="50" t="s">
        <v>5</v>
      </c>
      <c r="C7" s="51" t="s">
        <v>6</v>
      </c>
      <c r="D7" s="51" t="s">
        <v>7</v>
      </c>
      <c r="E7" s="52" t="s">
        <v>8</v>
      </c>
      <c r="F7" s="53" t="s">
        <v>9</v>
      </c>
      <c r="G7" s="53" t="s">
        <v>10</v>
      </c>
      <c r="H7" s="53" t="s">
        <v>11</v>
      </c>
      <c r="I7" s="53" t="s">
        <v>12</v>
      </c>
      <c r="J7" s="53" t="s">
        <v>13</v>
      </c>
      <c r="K7" s="85" t="s">
        <v>291</v>
      </c>
      <c r="L7" s="54" t="s">
        <v>14</v>
      </c>
      <c r="M7" s="66"/>
      <c r="N7" s="66"/>
      <c r="O7" s="66"/>
      <c r="P7" s="66"/>
      <c r="Q7" s="66"/>
    </row>
    <row r="8" spans="1:17" ht="13.2" customHeight="1" thickTop="1" x14ac:dyDescent="0.55000000000000004">
      <c r="A8" s="3" t="s">
        <v>15</v>
      </c>
      <c r="B8" s="3" t="s">
        <v>15</v>
      </c>
      <c r="C8" s="4" t="s">
        <v>16</v>
      </c>
      <c r="D8" s="5">
        <v>0</v>
      </c>
      <c r="E8" s="5">
        <v>0</v>
      </c>
      <c r="F8" s="6">
        <v>0.15555555555555556</v>
      </c>
      <c r="G8" s="7">
        <f t="shared" ref="G8:G23" si="0">F8</f>
        <v>0.15555555555555556</v>
      </c>
      <c r="H8" s="4">
        <v>29.77</v>
      </c>
      <c r="I8" s="7">
        <f t="shared" ref="I8:I23" si="1">G8*E8</f>
        <v>0</v>
      </c>
      <c r="J8" s="8">
        <f t="shared" ref="J8:J23" si="2">E8*H8</f>
        <v>0</v>
      </c>
      <c r="K8" s="86">
        <f>IF(Tableau1[[#This Row],[Id Impression]]&lt;&gt;0,WORKDAY(stats!$L$2,Tableau1[[#This Row],[Id Impression]],Férier)-1,0)</f>
        <v>0</v>
      </c>
      <c r="L8" s="13">
        <v>0</v>
      </c>
      <c r="M8" s="77"/>
      <c r="N8" s="66"/>
      <c r="O8" s="66"/>
      <c r="P8" s="66"/>
      <c r="Q8" s="66"/>
    </row>
    <row r="9" spans="1:17" ht="13.2" customHeight="1" x14ac:dyDescent="0.55000000000000004">
      <c r="A9" s="10" t="s">
        <v>15</v>
      </c>
      <c r="B9" s="10" t="s">
        <v>15</v>
      </c>
      <c r="C9" s="10" t="s">
        <v>17</v>
      </c>
      <c r="D9" s="4">
        <v>1</v>
      </c>
      <c r="E9" s="4">
        <v>1</v>
      </c>
      <c r="F9" s="11">
        <v>5.1388888888888894E-2</v>
      </c>
      <c r="G9" s="7">
        <f t="shared" si="0"/>
        <v>5.1388888888888894E-2</v>
      </c>
      <c r="H9" s="10">
        <v>8.77</v>
      </c>
      <c r="I9" s="7">
        <f t="shared" si="1"/>
        <v>5.1388888888888894E-2</v>
      </c>
      <c r="J9" s="8">
        <f t="shared" si="2"/>
        <v>8.77</v>
      </c>
      <c r="K9" s="86">
        <f>IF(Tableau1[[#This Row],[Id Impression]]&lt;&gt;0,WORKDAY(stats!$L$2,Tableau1[[#This Row],[Id Impression]],Férier)-1,0)</f>
        <v>42983</v>
      </c>
      <c r="L9" s="13">
        <v>1</v>
      </c>
      <c r="M9" s="66"/>
      <c r="N9" s="66"/>
      <c r="O9" s="66"/>
      <c r="P9" s="66"/>
      <c r="Q9" s="66"/>
    </row>
    <row r="10" spans="1:17" ht="13.2" customHeight="1" x14ac:dyDescent="0.55000000000000004">
      <c r="A10" s="10" t="s">
        <v>15</v>
      </c>
      <c r="B10" s="10" t="s">
        <v>15</v>
      </c>
      <c r="C10" s="4" t="s">
        <v>18</v>
      </c>
      <c r="D10" s="5">
        <v>1</v>
      </c>
      <c r="E10" s="5">
        <v>1</v>
      </c>
      <c r="F10" s="6">
        <v>5.4166666666666669E-2</v>
      </c>
      <c r="G10" s="7">
        <f t="shared" si="0"/>
        <v>5.4166666666666669E-2</v>
      </c>
      <c r="H10" s="4">
        <v>10.74</v>
      </c>
      <c r="I10" s="7">
        <f t="shared" si="1"/>
        <v>5.4166666666666669E-2</v>
      </c>
      <c r="J10" s="8">
        <f t="shared" si="2"/>
        <v>10.74</v>
      </c>
      <c r="K10" s="86">
        <f>IF(Tableau1[[#This Row],[Id Impression]]&lt;&gt;0,WORKDAY(stats!$L$2,Tableau1[[#This Row],[Id Impression]],Férier)-1,0)</f>
        <v>42983</v>
      </c>
      <c r="L10" s="13">
        <v>1</v>
      </c>
      <c r="M10" s="66"/>
      <c r="N10" s="66"/>
      <c r="O10" s="66"/>
      <c r="P10" s="66"/>
      <c r="Q10" s="66"/>
    </row>
    <row r="11" spans="1:17" ht="13.2" customHeight="1" x14ac:dyDescent="0.55000000000000004">
      <c r="A11" s="10" t="s">
        <v>15</v>
      </c>
      <c r="B11" s="10" t="s">
        <v>15</v>
      </c>
      <c r="C11" s="4" t="s">
        <v>19</v>
      </c>
      <c r="D11" s="5">
        <v>1</v>
      </c>
      <c r="E11" s="5">
        <v>1</v>
      </c>
      <c r="F11" s="6">
        <v>6.3194444444444442E-2</v>
      </c>
      <c r="G11" s="7">
        <f t="shared" si="0"/>
        <v>6.3194444444444442E-2</v>
      </c>
      <c r="H11" s="4">
        <v>10.93</v>
      </c>
      <c r="I11" s="7">
        <f t="shared" si="1"/>
        <v>6.3194444444444442E-2</v>
      </c>
      <c r="J11" s="8">
        <f t="shared" si="2"/>
        <v>10.93</v>
      </c>
      <c r="K11" s="86">
        <f>IF(Tableau1[[#This Row],[Id Impression]]&lt;&gt;0,WORKDAY(stats!$L$2,Tableau1[[#This Row],[Id Impression]],Férier)-1,0)</f>
        <v>42983</v>
      </c>
      <c r="L11" s="13">
        <v>1</v>
      </c>
      <c r="M11" s="66"/>
      <c r="N11" s="66"/>
      <c r="O11" s="66"/>
      <c r="P11" s="66"/>
      <c r="Q11" s="66"/>
    </row>
    <row r="12" spans="1:17" ht="13.2" customHeight="1" x14ac:dyDescent="0.55000000000000004">
      <c r="A12" s="10" t="s">
        <v>15</v>
      </c>
      <c r="B12" s="10" t="s">
        <v>15</v>
      </c>
      <c r="C12" s="4" t="s">
        <v>20</v>
      </c>
      <c r="D12" s="4">
        <v>1</v>
      </c>
      <c r="E12" s="4">
        <v>1</v>
      </c>
      <c r="F12" s="6">
        <v>7.013888888888889E-2</v>
      </c>
      <c r="G12" s="7">
        <f t="shared" si="0"/>
        <v>7.013888888888889E-2</v>
      </c>
      <c r="H12" s="4">
        <v>12.22</v>
      </c>
      <c r="I12" s="7">
        <f t="shared" si="1"/>
        <v>7.013888888888889E-2</v>
      </c>
      <c r="J12" s="8">
        <f t="shared" si="2"/>
        <v>12.22</v>
      </c>
      <c r="K12" s="86">
        <f>IF(Tableau1[[#This Row],[Id Impression]]&lt;&gt;0,WORKDAY(stats!$L$2,Tableau1[[#This Row],[Id Impression]],Férier)-1,0)</f>
        <v>42984</v>
      </c>
      <c r="L12" s="13">
        <v>2</v>
      </c>
      <c r="M12" s="66"/>
      <c r="N12" s="66"/>
      <c r="O12" s="69"/>
      <c r="P12" s="66"/>
      <c r="Q12" s="66"/>
    </row>
    <row r="13" spans="1:17" ht="13.2" customHeight="1" x14ac:dyDescent="0.55000000000000004">
      <c r="A13" s="10" t="s">
        <v>15</v>
      </c>
      <c r="B13" s="10" t="s">
        <v>15</v>
      </c>
      <c r="C13" s="4" t="s">
        <v>21</v>
      </c>
      <c r="D13" s="4">
        <v>1</v>
      </c>
      <c r="E13" s="4">
        <v>1</v>
      </c>
      <c r="F13" s="6">
        <v>7.2222222222222229E-2</v>
      </c>
      <c r="G13" s="7">
        <f t="shared" si="0"/>
        <v>7.2222222222222229E-2</v>
      </c>
      <c r="H13" s="4">
        <v>15.2</v>
      </c>
      <c r="I13" s="7">
        <f t="shared" si="1"/>
        <v>7.2222222222222229E-2</v>
      </c>
      <c r="J13" s="8">
        <f t="shared" si="2"/>
        <v>15.2</v>
      </c>
      <c r="K13" s="86">
        <f>IF(Tableau1[[#This Row],[Id Impression]]&lt;&gt;0,WORKDAY(stats!$L$2,Tableau1[[#This Row],[Id Impression]],Férier)-1,0)</f>
        <v>42984</v>
      </c>
      <c r="L13" s="13">
        <v>2</v>
      </c>
      <c r="M13" s="66"/>
      <c r="N13" s="66"/>
      <c r="O13" s="70"/>
      <c r="P13" s="70"/>
      <c r="Q13" s="66"/>
    </row>
    <row r="14" spans="1:17" ht="13.2" customHeight="1" x14ac:dyDescent="0.55000000000000004">
      <c r="A14" s="10" t="s">
        <v>15</v>
      </c>
      <c r="B14" s="10" t="s">
        <v>15</v>
      </c>
      <c r="C14" s="4" t="s">
        <v>22</v>
      </c>
      <c r="D14" s="5">
        <v>1</v>
      </c>
      <c r="E14" s="5">
        <v>1</v>
      </c>
      <c r="F14" s="6">
        <v>7.3611111111111113E-2</v>
      </c>
      <c r="G14" s="7">
        <f t="shared" si="0"/>
        <v>7.3611111111111113E-2</v>
      </c>
      <c r="H14" s="4">
        <v>22.38</v>
      </c>
      <c r="I14" s="7">
        <f t="shared" si="1"/>
        <v>7.3611111111111113E-2</v>
      </c>
      <c r="J14" s="8">
        <f t="shared" si="2"/>
        <v>22.38</v>
      </c>
      <c r="K14" s="86">
        <f>IF(Tableau1[[#This Row],[Id Impression]]&lt;&gt;0,WORKDAY(stats!$L$2,Tableau1[[#This Row],[Id Impression]],Férier)-1,0)</f>
        <v>42985</v>
      </c>
      <c r="L14" s="13">
        <v>3</v>
      </c>
      <c r="M14" s="66"/>
      <c r="N14" s="66"/>
      <c r="O14" s="70"/>
      <c r="P14" s="70"/>
      <c r="Q14" s="66"/>
    </row>
    <row r="15" spans="1:17" ht="13.2" customHeight="1" x14ac:dyDescent="0.55000000000000004">
      <c r="A15" s="10" t="s">
        <v>15</v>
      </c>
      <c r="B15" s="10" t="s">
        <v>15</v>
      </c>
      <c r="C15" s="4" t="s">
        <v>23</v>
      </c>
      <c r="D15" s="5">
        <v>1</v>
      </c>
      <c r="E15" s="5">
        <v>1</v>
      </c>
      <c r="F15" s="6">
        <v>0.10972222222222222</v>
      </c>
      <c r="G15" s="7">
        <f t="shared" si="0"/>
        <v>0.10972222222222222</v>
      </c>
      <c r="H15" s="4">
        <v>21.59</v>
      </c>
      <c r="I15" s="7">
        <f t="shared" si="1"/>
        <v>0.10972222222222222</v>
      </c>
      <c r="J15" s="8">
        <f t="shared" si="2"/>
        <v>21.59</v>
      </c>
      <c r="K15" s="86">
        <f>IF(Tableau1[[#This Row],[Id Impression]]&lt;&gt;0,WORKDAY(stats!$L$2,Tableau1[[#This Row],[Id Impression]],Férier)-1,0)</f>
        <v>42985</v>
      </c>
      <c r="L15" s="13">
        <v>3</v>
      </c>
      <c r="M15" s="66"/>
      <c r="N15" s="66"/>
      <c r="O15" s="70"/>
      <c r="P15" s="70"/>
      <c r="Q15" s="66"/>
    </row>
    <row r="16" spans="1:17" ht="13.2" customHeight="1" x14ac:dyDescent="0.55000000000000004">
      <c r="A16" s="10" t="s">
        <v>15</v>
      </c>
      <c r="B16" s="10" t="s">
        <v>15</v>
      </c>
      <c r="C16" s="4" t="s">
        <v>24</v>
      </c>
      <c r="D16" s="5">
        <v>1</v>
      </c>
      <c r="E16" s="5">
        <v>1</v>
      </c>
      <c r="F16" s="6">
        <v>7.9861111111111105E-2</v>
      </c>
      <c r="G16" s="7">
        <f t="shared" si="0"/>
        <v>7.9861111111111105E-2</v>
      </c>
      <c r="H16" s="4">
        <v>14.16</v>
      </c>
      <c r="I16" s="7">
        <f t="shared" si="1"/>
        <v>7.9861111111111105E-2</v>
      </c>
      <c r="J16" s="8">
        <f t="shared" si="2"/>
        <v>14.16</v>
      </c>
      <c r="K16" s="86">
        <f>IF(Tableau1[[#This Row],[Id Impression]]&lt;&gt;0,WORKDAY(stats!$L$2,Tableau1[[#This Row],[Id Impression]],Férier)-1,0)</f>
        <v>42988</v>
      </c>
      <c r="L16" s="13">
        <v>4</v>
      </c>
      <c r="M16" s="66"/>
      <c r="N16" s="66"/>
      <c r="O16" s="70"/>
      <c r="P16" s="70"/>
      <c r="Q16" s="66"/>
    </row>
    <row r="17" spans="1:17" ht="13.2" customHeight="1" x14ac:dyDescent="0.55000000000000004">
      <c r="A17" s="10" t="s">
        <v>15</v>
      </c>
      <c r="B17" s="10" t="s">
        <v>15</v>
      </c>
      <c r="C17" s="4" t="s">
        <v>25</v>
      </c>
      <c r="D17" s="5">
        <v>1</v>
      </c>
      <c r="E17" s="5">
        <v>1</v>
      </c>
      <c r="F17" s="6">
        <v>9.0277777777777776E-2</v>
      </c>
      <c r="G17" s="7">
        <f t="shared" si="0"/>
        <v>9.0277777777777776E-2</v>
      </c>
      <c r="H17" s="4">
        <v>20.03</v>
      </c>
      <c r="I17" s="7">
        <f t="shared" si="1"/>
        <v>9.0277777777777776E-2</v>
      </c>
      <c r="J17" s="8">
        <f t="shared" si="2"/>
        <v>20.03</v>
      </c>
      <c r="K17" s="86">
        <f>IF(Tableau1[[#This Row],[Id Impression]]&lt;&gt;0,WORKDAY(stats!$L$2,Tableau1[[#This Row],[Id Impression]],Férier)-1,0)</f>
        <v>42988</v>
      </c>
      <c r="L17" s="13">
        <v>4</v>
      </c>
      <c r="M17" s="66"/>
      <c r="N17" s="66"/>
      <c r="O17" s="66"/>
      <c r="P17" s="66"/>
      <c r="Q17" s="66"/>
    </row>
    <row r="18" spans="1:17" ht="13.2" customHeight="1" x14ac:dyDescent="0.55000000000000004">
      <c r="A18" s="10" t="s">
        <v>15</v>
      </c>
      <c r="B18" s="10" t="s">
        <v>15</v>
      </c>
      <c r="C18" s="4" t="s">
        <v>26</v>
      </c>
      <c r="D18" s="5">
        <v>1</v>
      </c>
      <c r="E18" s="5">
        <v>1</v>
      </c>
      <c r="F18" s="6">
        <v>0.14027777777777778</v>
      </c>
      <c r="G18" s="7">
        <f t="shared" si="0"/>
        <v>0.14027777777777778</v>
      </c>
      <c r="H18" s="4">
        <v>39.83</v>
      </c>
      <c r="I18" s="7">
        <f t="shared" si="1"/>
        <v>0.14027777777777778</v>
      </c>
      <c r="J18" s="8">
        <f t="shared" si="2"/>
        <v>39.83</v>
      </c>
      <c r="K18" s="86">
        <f>IF(Tableau1[[#This Row],[Id Impression]]&lt;&gt;0,WORKDAY(stats!$L$2,Tableau1[[#This Row],[Id Impression]],Férier)-1,0)</f>
        <v>42989</v>
      </c>
      <c r="L18" s="13">
        <v>5</v>
      </c>
      <c r="M18" s="66"/>
      <c r="N18" s="66"/>
      <c r="O18" s="66"/>
      <c r="P18" s="66"/>
      <c r="Q18" s="66"/>
    </row>
    <row r="19" spans="1:17" ht="13.2" customHeight="1" x14ac:dyDescent="0.55000000000000004">
      <c r="A19" s="10" t="s">
        <v>15</v>
      </c>
      <c r="B19" s="10" t="s">
        <v>15</v>
      </c>
      <c r="C19" s="4" t="s">
        <v>27</v>
      </c>
      <c r="D19" s="5">
        <v>1</v>
      </c>
      <c r="E19" s="5">
        <v>1</v>
      </c>
      <c r="F19" s="6">
        <v>0.16944444444444443</v>
      </c>
      <c r="G19" s="7">
        <f t="shared" si="0"/>
        <v>0.16944444444444443</v>
      </c>
      <c r="H19" s="4">
        <v>32.39</v>
      </c>
      <c r="I19" s="7">
        <f t="shared" si="1"/>
        <v>0.16944444444444443</v>
      </c>
      <c r="J19" s="8">
        <f t="shared" si="2"/>
        <v>32.39</v>
      </c>
      <c r="K19" s="86">
        <f>IF(Tableau1[[#This Row],[Id Impression]]&lt;&gt;0,WORKDAY(stats!$L$2,Tableau1[[#This Row],[Id Impression]],Férier)-1,0)</f>
        <v>42990</v>
      </c>
      <c r="L19" s="13">
        <v>6</v>
      </c>
      <c r="M19" s="66"/>
      <c r="N19" s="66"/>
      <c r="O19" s="66"/>
      <c r="P19" s="66"/>
      <c r="Q19" s="66"/>
    </row>
    <row r="20" spans="1:17" ht="13.2" customHeight="1" x14ac:dyDescent="0.55000000000000004">
      <c r="A20" s="10" t="s">
        <v>15</v>
      </c>
      <c r="B20" s="10" t="s">
        <v>15</v>
      </c>
      <c r="C20" s="4" t="s">
        <v>28</v>
      </c>
      <c r="D20" s="5">
        <v>1</v>
      </c>
      <c r="E20" s="5">
        <v>1</v>
      </c>
      <c r="F20" s="6">
        <v>0.21249999999999999</v>
      </c>
      <c r="G20" s="7">
        <f t="shared" si="0"/>
        <v>0.21249999999999999</v>
      </c>
      <c r="H20" s="4">
        <v>46.49</v>
      </c>
      <c r="I20" s="7">
        <f t="shared" si="1"/>
        <v>0.21249999999999999</v>
      </c>
      <c r="J20" s="8">
        <f t="shared" si="2"/>
        <v>46.49</v>
      </c>
      <c r="K20" s="86">
        <f>IF(Tableau1[[#This Row],[Id Impression]]&lt;&gt;0,WORKDAY(stats!$L$2,Tableau1[[#This Row],[Id Impression]],Férier)-1,0)</f>
        <v>42991</v>
      </c>
      <c r="L20" s="13">
        <v>7</v>
      </c>
      <c r="M20" s="66"/>
      <c r="N20" s="66"/>
      <c r="O20" s="66"/>
      <c r="P20" s="66"/>
      <c r="Q20" s="66"/>
    </row>
    <row r="21" spans="1:17" ht="13.2" customHeight="1" x14ac:dyDescent="0.55000000000000004">
      <c r="A21" s="10" t="s">
        <v>15</v>
      </c>
      <c r="B21" s="10" t="s">
        <v>15</v>
      </c>
      <c r="C21" s="4" t="s">
        <v>29</v>
      </c>
      <c r="D21" s="5">
        <v>1</v>
      </c>
      <c r="E21" s="5">
        <v>1</v>
      </c>
      <c r="F21" s="6">
        <v>0.21597222222222223</v>
      </c>
      <c r="G21" s="7">
        <f t="shared" si="0"/>
        <v>0.21597222222222223</v>
      </c>
      <c r="H21" s="4">
        <v>41</v>
      </c>
      <c r="I21" s="7">
        <f t="shared" si="1"/>
        <v>0.21597222222222223</v>
      </c>
      <c r="J21" s="8">
        <f t="shared" si="2"/>
        <v>41</v>
      </c>
      <c r="K21" s="86">
        <f>IF(Tableau1[[#This Row],[Id Impression]]&lt;&gt;0,WORKDAY(stats!$L$2,Tableau1[[#This Row],[Id Impression]],Férier)-1,0)</f>
        <v>42992</v>
      </c>
      <c r="L21" s="13">
        <v>8</v>
      </c>
      <c r="M21" s="66"/>
      <c r="N21" s="66"/>
      <c r="O21" s="66"/>
      <c r="P21" s="66"/>
      <c r="Q21" s="66"/>
    </row>
    <row r="22" spans="1:17" ht="13.2" customHeight="1" x14ac:dyDescent="0.55000000000000004">
      <c r="A22" s="10" t="s">
        <v>15</v>
      </c>
      <c r="B22" s="10" t="s">
        <v>15</v>
      </c>
      <c r="C22" s="4" t="s">
        <v>30</v>
      </c>
      <c r="D22" s="5">
        <v>1</v>
      </c>
      <c r="E22" s="5">
        <v>1</v>
      </c>
      <c r="F22" s="6">
        <v>0.24791666666666667</v>
      </c>
      <c r="G22" s="7">
        <f t="shared" si="0"/>
        <v>0.24791666666666667</v>
      </c>
      <c r="H22" s="4">
        <v>45.48</v>
      </c>
      <c r="I22" s="7">
        <f t="shared" si="1"/>
        <v>0.24791666666666667</v>
      </c>
      <c r="J22" s="8">
        <f t="shared" si="2"/>
        <v>45.48</v>
      </c>
      <c r="K22" s="86">
        <f>IF(Tableau1[[#This Row],[Id Impression]]&lt;&gt;0,WORKDAY(stats!$L$2,Tableau1[[#This Row],[Id Impression]],Férier)-1,0)</f>
        <v>42995</v>
      </c>
      <c r="L22" s="13">
        <v>9</v>
      </c>
      <c r="M22" s="66"/>
      <c r="N22" s="66"/>
      <c r="O22" s="66"/>
      <c r="P22" s="66"/>
      <c r="Q22" s="66"/>
    </row>
    <row r="23" spans="1:17" ht="13.2" customHeight="1" x14ac:dyDescent="0.55000000000000004">
      <c r="A23" s="10" t="s">
        <v>15</v>
      </c>
      <c r="B23" s="10" t="s">
        <v>15</v>
      </c>
      <c r="C23" s="4" t="s">
        <v>31</v>
      </c>
      <c r="D23" s="5">
        <v>1</v>
      </c>
      <c r="E23" s="5">
        <v>1</v>
      </c>
      <c r="F23" s="6">
        <v>0.29583333333333334</v>
      </c>
      <c r="G23" s="7">
        <f t="shared" si="0"/>
        <v>0.29583333333333334</v>
      </c>
      <c r="H23" s="4">
        <v>56.19</v>
      </c>
      <c r="I23" s="7">
        <f t="shared" si="1"/>
        <v>0.29583333333333334</v>
      </c>
      <c r="J23" s="8">
        <f t="shared" si="2"/>
        <v>56.19</v>
      </c>
      <c r="K23" s="86">
        <f>IF(Tableau1[[#This Row],[Id Impression]]&lt;&gt;0,WORKDAY(stats!$L$2,Tableau1[[#This Row],[Id Impression]],Férier)-1,0)</f>
        <v>42996</v>
      </c>
      <c r="L23" s="13">
        <v>10</v>
      </c>
      <c r="M23" s="66"/>
      <c r="N23" s="66"/>
      <c r="O23" s="66"/>
      <c r="P23" s="66"/>
      <c r="Q23" s="66"/>
    </row>
    <row r="24" spans="1:17" ht="13.2" customHeight="1" x14ac:dyDescent="0.55000000000000004">
      <c r="A24" s="10" t="s">
        <v>280</v>
      </c>
      <c r="B24" s="10" t="s">
        <v>32</v>
      </c>
      <c r="C24" s="10" t="s">
        <v>33</v>
      </c>
      <c r="D24" s="5">
        <v>1</v>
      </c>
      <c r="E24" s="5">
        <v>1</v>
      </c>
      <c r="F24" s="11">
        <v>2.4999999999999998E-2</v>
      </c>
      <c r="G24" s="7">
        <f t="shared" ref="G24:G39" si="3">F24</f>
        <v>2.4999999999999998E-2</v>
      </c>
      <c r="H24" s="10">
        <v>6.53</v>
      </c>
      <c r="I24" s="7">
        <f t="shared" ref="I24:I71" si="4">G24*E24</f>
        <v>2.4999999999999998E-2</v>
      </c>
      <c r="J24" s="8">
        <f t="shared" ref="J24:J71" si="5">E24*H24</f>
        <v>6.53</v>
      </c>
      <c r="K24" s="86">
        <f>IF(Tableau1[[#This Row],[Id Impression]]&lt;&gt;0,WORKDAY(stats!$L$2,Tableau1[[#This Row],[Id Impression]],Férier)-1,0)</f>
        <v>42997</v>
      </c>
      <c r="L24" s="9">
        <v>11</v>
      </c>
      <c r="M24" s="66"/>
      <c r="N24" s="66"/>
      <c r="O24" s="66"/>
      <c r="P24" s="66"/>
      <c r="Q24" s="66"/>
    </row>
    <row r="25" spans="1:17" ht="13.2" customHeight="1" x14ac:dyDescent="0.55000000000000004">
      <c r="A25" s="10" t="s">
        <v>280</v>
      </c>
      <c r="B25" s="10" t="s">
        <v>32</v>
      </c>
      <c r="C25" s="10" t="s">
        <v>34</v>
      </c>
      <c r="D25" s="5">
        <v>1</v>
      </c>
      <c r="E25" s="5">
        <v>1</v>
      </c>
      <c r="F25" s="11">
        <v>4.1666666666666664E-2</v>
      </c>
      <c r="G25" s="7">
        <f t="shared" si="3"/>
        <v>4.1666666666666664E-2</v>
      </c>
      <c r="H25" s="10">
        <v>11.83</v>
      </c>
      <c r="I25" s="7">
        <f t="shared" si="4"/>
        <v>4.1666666666666664E-2</v>
      </c>
      <c r="J25" s="8">
        <f t="shared" si="5"/>
        <v>11.83</v>
      </c>
      <c r="K25" s="86">
        <f>IF(Tableau1[[#This Row],[Id Impression]]&lt;&gt;0,WORKDAY(stats!$L$2,Tableau1[[#This Row],[Id Impression]],Férier)-1,0)</f>
        <v>42997</v>
      </c>
      <c r="L25" s="9">
        <v>11</v>
      </c>
      <c r="M25" s="66"/>
      <c r="N25" s="66"/>
      <c r="O25" s="66"/>
      <c r="P25" s="66"/>
      <c r="Q25" s="66"/>
    </row>
    <row r="26" spans="1:17" ht="13.2" customHeight="1" x14ac:dyDescent="0.55000000000000004">
      <c r="A26" s="10" t="s">
        <v>280</v>
      </c>
      <c r="B26" s="10" t="s">
        <v>32</v>
      </c>
      <c r="C26" s="10" t="s">
        <v>35</v>
      </c>
      <c r="D26" s="5">
        <v>1</v>
      </c>
      <c r="E26" s="5">
        <v>1</v>
      </c>
      <c r="F26" s="6">
        <v>5.5555555555555552E-2</v>
      </c>
      <c r="G26" s="7">
        <f t="shared" si="3"/>
        <v>5.5555555555555552E-2</v>
      </c>
      <c r="H26" s="4">
        <v>12.97</v>
      </c>
      <c r="I26" s="7">
        <f t="shared" si="4"/>
        <v>5.5555555555555552E-2</v>
      </c>
      <c r="J26" s="8">
        <f t="shared" si="5"/>
        <v>12.97</v>
      </c>
      <c r="K26" s="86">
        <f>IF(Tableau1[[#This Row],[Id Impression]]&lt;&gt;0,WORKDAY(stats!$L$2,Tableau1[[#This Row],[Id Impression]],Férier)-1,0)</f>
        <v>42997</v>
      </c>
      <c r="L26" s="9">
        <v>11</v>
      </c>
      <c r="M26" s="66"/>
      <c r="N26" s="66"/>
      <c r="O26" s="66"/>
      <c r="P26" s="66"/>
      <c r="Q26" s="66"/>
    </row>
    <row r="27" spans="1:17" ht="13.2" customHeight="1" x14ac:dyDescent="0.55000000000000004">
      <c r="A27" s="10" t="s">
        <v>280</v>
      </c>
      <c r="B27" s="10" t="s">
        <v>32</v>
      </c>
      <c r="C27" s="10" t="s">
        <v>36</v>
      </c>
      <c r="D27" s="5">
        <v>1</v>
      </c>
      <c r="E27" s="5">
        <v>1</v>
      </c>
      <c r="F27" s="11">
        <v>5.9027777777777783E-2</v>
      </c>
      <c r="G27" s="7">
        <f t="shared" si="3"/>
        <v>5.9027777777777783E-2</v>
      </c>
      <c r="H27" s="10">
        <v>14.33</v>
      </c>
      <c r="I27" s="7">
        <f t="shared" si="4"/>
        <v>5.9027777777777783E-2</v>
      </c>
      <c r="J27" s="8">
        <f t="shared" si="5"/>
        <v>14.33</v>
      </c>
      <c r="K27" s="86">
        <f>IF(Tableau1[[#This Row],[Id Impression]]&lt;&gt;0,WORKDAY(stats!$L$2,Tableau1[[#This Row],[Id Impression]],Férier)-1,0)</f>
        <v>42997</v>
      </c>
      <c r="L27" s="9">
        <v>11</v>
      </c>
      <c r="M27" s="66"/>
      <c r="N27" s="66"/>
      <c r="O27" s="66"/>
      <c r="P27" s="66"/>
      <c r="Q27" s="66"/>
    </row>
    <row r="28" spans="1:17" ht="13.2" customHeight="1" x14ac:dyDescent="0.55000000000000004">
      <c r="A28" s="10" t="s">
        <v>280</v>
      </c>
      <c r="B28" s="10" t="s">
        <v>32</v>
      </c>
      <c r="C28" s="10" t="s">
        <v>37</v>
      </c>
      <c r="D28" s="5">
        <v>1</v>
      </c>
      <c r="E28" s="5">
        <v>1</v>
      </c>
      <c r="F28" s="11">
        <v>0.17777777777777778</v>
      </c>
      <c r="G28" s="7">
        <f t="shared" si="3"/>
        <v>0.17777777777777778</v>
      </c>
      <c r="H28" s="12">
        <v>40.49</v>
      </c>
      <c r="I28" s="7">
        <f t="shared" si="4"/>
        <v>0.17777777777777778</v>
      </c>
      <c r="J28" s="8">
        <f t="shared" si="5"/>
        <v>40.49</v>
      </c>
      <c r="K28" s="86">
        <f>IF(Tableau1[[#This Row],[Id Impression]]&lt;&gt;0,WORKDAY(stats!$L$2,Tableau1[[#This Row],[Id Impression]],Férier)-1,0)</f>
        <v>42998</v>
      </c>
      <c r="L28" s="9">
        <v>12</v>
      </c>
      <c r="M28" s="66"/>
      <c r="N28" s="66"/>
      <c r="O28" s="66"/>
      <c r="P28" s="66"/>
      <c r="Q28" s="66"/>
    </row>
    <row r="29" spans="1:17" ht="13.2" customHeight="1" x14ac:dyDescent="0.55000000000000004">
      <c r="A29" s="10" t="s">
        <v>280</v>
      </c>
      <c r="B29" s="10" t="s">
        <v>32</v>
      </c>
      <c r="C29" s="10" t="s">
        <v>38</v>
      </c>
      <c r="D29" s="5">
        <v>1</v>
      </c>
      <c r="E29" s="5">
        <v>1</v>
      </c>
      <c r="F29" s="11">
        <v>0.21111111111111111</v>
      </c>
      <c r="G29" s="7">
        <f t="shared" si="3"/>
        <v>0.21111111111111111</v>
      </c>
      <c r="H29" s="10">
        <v>40.56</v>
      </c>
      <c r="I29" s="7">
        <f t="shared" si="4"/>
        <v>0.21111111111111111</v>
      </c>
      <c r="J29" s="8">
        <f t="shared" si="5"/>
        <v>40.56</v>
      </c>
      <c r="K29" s="86">
        <f>IF(Tableau1[[#This Row],[Id Impression]]&lt;&gt;0,WORKDAY(stats!$L$2,Tableau1[[#This Row],[Id Impression]],Férier)-1,0)</f>
        <v>42999</v>
      </c>
      <c r="L29" s="9">
        <v>13</v>
      </c>
      <c r="M29" s="66"/>
      <c r="N29" s="66"/>
      <c r="O29" s="66"/>
      <c r="P29" s="66"/>
      <c r="Q29" s="66"/>
    </row>
    <row r="30" spans="1:17" ht="13.2" customHeight="1" x14ac:dyDescent="0.55000000000000004">
      <c r="A30" s="10" t="s">
        <v>280</v>
      </c>
      <c r="B30" s="10" t="s">
        <v>32</v>
      </c>
      <c r="C30" s="10" t="s">
        <v>39</v>
      </c>
      <c r="D30" s="5">
        <v>1</v>
      </c>
      <c r="E30" s="5">
        <v>1</v>
      </c>
      <c r="F30" s="11">
        <v>0.3215277777777778</v>
      </c>
      <c r="G30" s="7">
        <f t="shared" si="3"/>
        <v>0.3215277777777778</v>
      </c>
      <c r="H30" s="10">
        <v>57.65</v>
      </c>
      <c r="I30" s="7">
        <f t="shared" si="4"/>
        <v>0.3215277777777778</v>
      </c>
      <c r="J30" s="8">
        <f t="shared" si="5"/>
        <v>57.65</v>
      </c>
      <c r="K30" s="86">
        <f>IF(Tableau1[[#This Row],[Id Impression]]&lt;&gt;0,WORKDAY(stats!$L$2,Tableau1[[#This Row],[Id Impression]],Férier)-1,0)</f>
        <v>43002</v>
      </c>
      <c r="L30" s="9">
        <v>14</v>
      </c>
      <c r="M30" s="66"/>
      <c r="N30" s="66"/>
      <c r="O30" s="66"/>
      <c r="P30" s="66"/>
      <c r="Q30" s="66"/>
    </row>
    <row r="31" spans="1:17" ht="13.2" customHeight="1" x14ac:dyDescent="0.55000000000000004">
      <c r="A31" s="10" t="s">
        <v>280</v>
      </c>
      <c r="B31" s="10" t="s">
        <v>32</v>
      </c>
      <c r="C31" s="10" t="s">
        <v>40</v>
      </c>
      <c r="D31" s="5">
        <v>1</v>
      </c>
      <c r="E31" s="5">
        <v>1</v>
      </c>
      <c r="F31" s="11">
        <v>5.9722222222222225E-2</v>
      </c>
      <c r="G31" s="7">
        <f t="shared" si="3"/>
        <v>5.9722222222222225E-2</v>
      </c>
      <c r="H31" s="10">
        <v>14.12</v>
      </c>
      <c r="I31" s="7">
        <f t="shared" si="4"/>
        <v>5.9722222222222225E-2</v>
      </c>
      <c r="J31" s="8">
        <f t="shared" si="5"/>
        <v>14.12</v>
      </c>
      <c r="K31" s="86">
        <f>IF(Tableau1[[#This Row],[Id Impression]]&lt;&gt;0,WORKDAY(stats!$L$2,Tableau1[[#This Row],[Id Impression]],Férier)-1,0)</f>
        <v>43003</v>
      </c>
      <c r="L31" s="9">
        <v>15</v>
      </c>
      <c r="M31" s="66"/>
      <c r="N31" s="66"/>
      <c r="O31" s="66"/>
      <c r="P31" s="66"/>
      <c r="Q31" s="66"/>
    </row>
    <row r="32" spans="1:17" ht="13.2" customHeight="1" x14ac:dyDescent="0.55000000000000004">
      <c r="A32" s="10" t="s">
        <v>279</v>
      </c>
      <c r="B32" s="10" t="s">
        <v>41</v>
      </c>
      <c r="C32" s="4" t="s">
        <v>42</v>
      </c>
      <c r="D32" s="4">
        <v>1</v>
      </c>
      <c r="E32" s="4">
        <v>1</v>
      </c>
      <c r="F32" s="6">
        <v>2.6388888888888889E-2</v>
      </c>
      <c r="G32" s="7">
        <f t="shared" si="3"/>
        <v>2.6388888888888889E-2</v>
      </c>
      <c r="H32" s="4">
        <v>5.91</v>
      </c>
      <c r="I32" s="7">
        <f t="shared" si="4"/>
        <v>2.6388888888888889E-2</v>
      </c>
      <c r="J32" s="8">
        <f t="shared" si="5"/>
        <v>5.91</v>
      </c>
      <c r="K32" s="86">
        <f>IF(Tableau1[[#This Row],[Id Impression]]&lt;&gt;0,WORKDAY(stats!$L$2,Tableau1[[#This Row],[Id Impression]],Férier)-1,0)</f>
        <v>43003</v>
      </c>
      <c r="L32" s="9">
        <v>15</v>
      </c>
      <c r="M32" s="66"/>
      <c r="N32" s="66"/>
      <c r="O32" s="66"/>
      <c r="P32" s="66"/>
      <c r="Q32" s="66"/>
    </row>
    <row r="33" spans="1:17" ht="13.2" customHeight="1" x14ac:dyDescent="0.55000000000000004">
      <c r="A33" s="10" t="s">
        <v>279</v>
      </c>
      <c r="B33" s="10" t="s">
        <v>41</v>
      </c>
      <c r="C33" s="4" t="s">
        <v>43</v>
      </c>
      <c r="D33" s="5">
        <v>1</v>
      </c>
      <c r="E33" s="5">
        <v>1</v>
      </c>
      <c r="F33" s="6">
        <v>4.027777777777778E-2</v>
      </c>
      <c r="G33" s="7">
        <f t="shared" si="3"/>
        <v>4.027777777777778E-2</v>
      </c>
      <c r="H33" s="4">
        <v>9.4700000000000006</v>
      </c>
      <c r="I33" s="7">
        <f t="shared" si="4"/>
        <v>4.027777777777778E-2</v>
      </c>
      <c r="J33" s="8">
        <f t="shared" si="5"/>
        <v>9.4700000000000006</v>
      </c>
      <c r="K33" s="86">
        <f>IF(Tableau1[[#This Row],[Id Impression]]&lt;&gt;0,WORKDAY(stats!$L$2,Tableau1[[#This Row],[Id Impression]],Férier)-1,0)</f>
        <v>43003</v>
      </c>
      <c r="L33" s="9">
        <v>15</v>
      </c>
      <c r="M33" s="66"/>
      <c r="N33" s="66"/>
      <c r="O33" s="66"/>
      <c r="P33" s="66"/>
      <c r="Q33" s="66"/>
    </row>
    <row r="34" spans="1:17" ht="13.2" customHeight="1" x14ac:dyDescent="0.55000000000000004">
      <c r="A34" s="10" t="s">
        <v>279</v>
      </c>
      <c r="B34" s="10" t="s">
        <v>41</v>
      </c>
      <c r="C34" s="4" t="s">
        <v>44</v>
      </c>
      <c r="D34" s="5">
        <v>1</v>
      </c>
      <c r="E34" s="5">
        <v>1</v>
      </c>
      <c r="F34" s="6">
        <v>5.6944444444444443E-2</v>
      </c>
      <c r="G34" s="7">
        <f t="shared" si="3"/>
        <v>5.6944444444444443E-2</v>
      </c>
      <c r="H34" s="4">
        <v>9.7799999999999994</v>
      </c>
      <c r="I34" s="7">
        <f t="shared" si="4"/>
        <v>5.6944444444444443E-2</v>
      </c>
      <c r="J34" s="8">
        <f t="shared" si="5"/>
        <v>9.7799999999999994</v>
      </c>
      <c r="K34" s="86">
        <f>IF(Tableau1[[#This Row],[Id Impression]]&lt;&gt;0,WORKDAY(stats!$L$2,Tableau1[[#This Row],[Id Impression]],Férier)-1,0)</f>
        <v>43003</v>
      </c>
      <c r="L34" s="9">
        <v>15</v>
      </c>
      <c r="M34" s="66"/>
      <c r="N34" s="66"/>
      <c r="O34" s="66"/>
      <c r="P34" s="66"/>
      <c r="Q34" s="66"/>
    </row>
    <row r="35" spans="1:17" ht="13.2" customHeight="1" x14ac:dyDescent="0.55000000000000004">
      <c r="A35" s="10" t="s">
        <v>279</v>
      </c>
      <c r="B35" s="10" t="s">
        <v>41</v>
      </c>
      <c r="C35" s="4" t="s">
        <v>45</v>
      </c>
      <c r="D35" s="5">
        <v>1</v>
      </c>
      <c r="E35" s="5">
        <v>1</v>
      </c>
      <c r="F35" s="6">
        <v>9.5138888888888884E-2</v>
      </c>
      <c r="G35" s="7">
        <f t="shared" si="3"/>
        <v>9.5138888888888884E-2</v>
      </c>
      <c r="H35" s="4">
        <v>21.44</v>
      </c>
      <c r="I35" s="7">
        <f t="shared" si="4"/>
        <v>9.5138888888888884E-2</v>
      </c>
      <c r="J35" s="8">
        <f t="shared" si="5"/>
        <v>21.44</v>
      </c>
      <c r="K35" s="86">
        <f>IF(Tableau1[[#This Row],[Id Impression]]&lt;&gt;0,WORKDAY(stats!$L$2,Tableau1[[#This Row],[Id Impression]],Férier)-1,0)</f>
        <v>43004</v>
      </c>
      <c r="L35" s="9">
        <v>16</v>
      </c>
      <c r="M35" s="66"/>
      <c r="N35" s="66"/>
      <c r="O35" s="66"/>
      <c r="P35" s="66"/>
      <c r="Q35" s="66"/>
    </row>
    <row r="36" spans="1:17" ht="13.2" customHeight="1" x14ac:dyDescent="0.55000000000000004">
      <c r="A36" s="10" t="s">
        <v>279</v>
      </c>
      <c r="B36" s="10" t="s">
        <v>41</v>
      </c>
      <c r="C36" s="4" t="s">
        <v>46</v>
      </c>
      <c r="D36" s="5">
        <v>1</v>
      </c>
      <c r="E36" s="5">
        <v>1</v>
      </c>
      <c r="F36" s="6">
        <v>0.19513888888888889</v>
      </c>
      <c r="G36" s="7">
        <f t="shared" si="3"/>
        <v>0.19513888888888889</v>
      </c>
      <c r="H36" s="4">
        <v>37.18</v>
      </c>
      <c r="I36" s="7">
        <f t="shared" si="4"/>
        <v>0.19513888888888889</v>
      </c>
      <c r="J36" s="8">
        <f t="shared" si="5"/>
        <v>37.18</v>
      </c>
      <c r="K36" s="86">
        <f>IF(Tableau1[[#This Row],[Id Impression]]&lt;&gt;0,WORKDAY(stats!$L$2,Tableau1[[#This Row],[Id Impression]],Férier)-1,0)</f>
        <v>43005</v>
      </c>
      <c r="L36" s="9">
        <v>17</v>
      </c>
      <c r="M36" s="66"/>
      <c r="N36" s="66"/>
      <c r="O36" s="66"/>
      <c r="P36" s="66"/>
      <c r="Q36" s="66"/>
    </row>
    <row r="37" spans="1:17" ht="13.2" customHeight="1" x14ac:dyDescent="0.55000000000000004">
      <c r="A37" s="10" t="s">
        <v>59</v>
      </c>
      <c r="B37" s="10" t="s">
        <v>47</v>
      </c>
      <c r="C37" s="4" t="s">
        <v>48</v>
      </c>
      <c r="D37" s="4">
        <v>1</v>
      </c>
      <c r="E37" s="4">
        <v>1</v>
      </c>
      <c r="F37" s="6">
        <v>1.1111111111111112E-2</v>
      </c>
      <c r="G37" s="7">
        <f t="shared" si="3"/>
        <v>1.1111111111111112E-2</v>
      </c>
      <c r="H37" s="4">
        <v>2.2400000000000002</v>
      </c>
      <c r="I37" s="7">
        <f t="shared" si="4"/>
        <v>1.1111111111111112E-2</v>
      </c>
      <c r="J37" s="8">
        <f t="shared" si="5"/>
        <v>2.2400000000000002</v>
      </c>
      <c r="K37" s="86">
        <f>IF(Tableau1[[#This Row],[Id Impression]]&lt;&gt;0,WORKDAY(stats!$L$2,Tableau1[[#This Row],[Id Impression]],Férier)-1,0)</f>
        <v>43006</v>
      </c>
      <c r="L37" s="13">
        <v>18</v>
      </c>
      <c r="M37" s="66"/>
      <c r="N37" s="66"/>
      <c r="O37" s="66"/>
      <c r="P37" s="66"/>
      <c r="Q37" s="66"/>
    </row>
    <row r="38" spans="1:17" ht="12.9" customHeight="1" x14ac:dyDescent="0.55000000000000004">
      <c r="A38" s="10" t="s">
        <v>59</v>
      </c>
      <c r="B38" s="10" t="s">
        <v>47</v>
      </c>
      <c r="C38" s="4" t="s">
        <v>49</v>
      </c>
      <c r="D38" s="4">
        <v>1</v>
      </c>
      <c r="E38" s="4">
        <v>1</v>
      </c>
      <c r="F38" s="6">
        <v>1.3194444444444444E-2</v>
      </c>
      <c r="G38" s="7">
        <f t="shared" si="3"/>
        <v>1.3194444444444444E-2</v>
      </c>
      <c r="H38" s="4">
        <v>3.68</v>
      </c>
      <c r="I38" s="7">
        <f t="shared" si="4"/>
        <v>1.3194444444444444E-2</v>
      </c>
      <c r="J38" s="8">
        <f t="shared" si="5"/>
        <v>3.68</v>
      </c>
      <c r="K38" s="86">
        <f>IF(Tableau1[[#This Row],[Id Impression]]&lt;&gt;0,WORKDAY(stats!$L$2,Tableau1[[#This Row],[Id Impression]],Férier)-1,0)</f>
        <v>43006</v>
      </c>
      <c r="L38" s="13">
        <v>18</v>
      </c>
      <c r="M38" s="66"/>
      <c r="N38" s="66"/>
      <c r="O38" s="66"/>
      <c r="P38" s="66"/>
      <c r="Q38" s="66"/>
    </row>
    <row r="39" spans="1:17" ht="12.9" customHeight="1" x14ac:dyDescent="0.55000000000000004">
      <c r="A39" s="10" t="s">
        <v>59</v>
      </c>
      <c r="B39" s="10" t="s">
        <v>47</v>
      </c>
      <c r="C39" s="4" t="s">
        <v>50</v>
      </c>
      <c r="D39" s="4">
        <v>1</v>
      </c>
      <c r="E39" s="4">
        <v>1</v>
      </c>
      <c r="F39" s="6">
        <v>0.12708333333333333</v>
      </c>
      <c r="G39" s="7">
        <f t="shared" si="3"/>
        <v>0.12708333333333333</v>
      </c>
      <c r="H39" s="4">
        <v>34.950000000000003</v>
      </c>
      <c r="I39" s="7">
        <f t="shared" si="4"/>
        <v>0.12708333333333333</v>
      </c>
      <c r="J39" s="8">
        <f t="shared" si="5"/>
        <v>34.950000000000003</v>
      </c>
      <c r="K39" s="86">
        <f>IF(Tableau1[[#This Row],[Id Impression]]&lt;&gt;0,WORKDAY(stats!$L$2,Tableau1[[#This Row],[Id Impression]],Férier)-1,0)</f>
        <v>43006</v>
      </c>
      <c r="L39" s="13">
        <v>18</v>
      </c>
      <c r="M39" s="66"/>
      <c r="N39" s="66"/>
      <c r="O39" s="66"/>
      <c r="P39" s="66"/>
      <c r="Q39" s="66"/>
    </row>
    <row r="40" spans="1:17" ht="12.9" customHeight="1" x14ac:dyDescent="0.55000000000000004">
      <c r="A40" s="10" t="s">
        <v>59</v>
      </c>
      <c r="B40" s="10" t="s">
        <v>47</v>
      </c>
      <c r="C40" s="4" t="s">
        <v>51</v>
      </c>
      <c r="D40" s="4">
        <v>1</v>
      </c>
      <c r="E40" s="4">
        <v>1</v>
      </c>
      <c r="F40" s="6">
        <v>1.5972222222222224E-2</v>
      </c>
      <c r="G40" s="7">
        <f t="shared" ref="G40:G71" si="6">F40</f>
        <v>1.5972222222222224E-2</v>
      </c>
      <c r="H40" s="4">
        <v>3.15</v>
      </c>
      <c r="I40" s="7">
        <f t="shared" si="4"/>
        <v>1.5972222222222224E-2</v>
      </c>
      <c r="J40" s="8">
        <f t="shared" si="5"/>
        <v>3.15</v>
      </c>
      <c r="K40" s="86">
        <f>IF(Tableau1[[#This Row],[Id Impression]]&lt;&gt;0,WORKDAY(stats!$L$2,Tableau1[[#This Row],[Id Impression]],Férier)-1,0)</f>
        <v>43009</v>
      </c>
      <c r="L40" s="9">
        <v>19</v>
      </c>
      <c r="M40" s="66"/>
      <c r="N40" s="66"/>
      <c r="O40" s="66"/>
      <c r="P40" s="66"/>
      <c r="Q40" s="66"/>
    </row>
    <row r="41" spans="1:17" ht="12.9" customHeight="1" x14ac:dyDescent="0.55000000000000004">
      <c r="A41" s="10" t="s">
        <v>59</v>
      </c>
      <c r="B41" s="10" t="s">
        <v>47</v>
      </c>
      <c r="C41" s="4" t="s">
        <v>52</v>
      </c>
      <c r="D41" s="4">
        <v>1</v>
      </c>
      <c r="E41" s="4">
        <v>1</v>
      </c>
      <c r="F41" s="11">
        <v>2.5694444444444447E-2</v>
      </c>
      <c r="G41" s="7">
        <f t="shared" si="6"/>
        <v>2.5694444444444447E-2</v>
      </c>
      <c r="H41" s="10">
        <v>8.52</v>
      </c>
      <c r="I41" s="7">
        <f t="shared" si="4"/>
        <v>2.5694444444444447E-2</v>
      </c>
      <c r="J41" s="8">
        <f t="shared" si="5"/>
        <v>8.52</v>
      </c>
      <c r="K41" s="86">
        <f>IF(Tableau1[[#This Row],[Id Impression]]&lt;&gt;0,WORKDAY(stats!$L$2,Tableau1[[#This Row],[Id Impression]],Férier)-1,0)</f>
        <v>43009</v>
      </c>
      <c r="L41" s="9">
        <v>19</v>
      </c>
      <c r="M41" s="66"/>
      <c r="N41" s="66"/>
      <c r="O41" s="66"/>
      <c r="P41" s="66"/>
      <c r="Q41" s="66"/>
    </row>
    <row r="42" spans="1:17" ht="12.9" customHeight="1" x14ac:dyDescent="0.55000000000000004">
      <c r="A42" s="10" t="s">
        <v>59</v>
      </c>
      <c r="B42" s="10" t="s">
        <v>47</v>
      </c>
      <c r="C42" s="4" t="s">
        <v>53</v>
      </c>
      <c r="D42" s="4">
        <v>1</v>
      </c>
      <c r="E42" s="4">
        <v>1</v>
      </c>
      <c r="F42" s="6">
        <v>0.12847222222222224</v>
      </c>
      <c r="G42" s="7">
        <f t="shared" si="6"/>
        <v>0.12847222222222224</v>
      </c>
      <c r="H42" s="4">
        <v>27.69</v>
      </c>
      <c r="I42" s="7">
        <f t="shared" si="4"/>
        <v>0.12847222222222224</v>
      </c>
      <c r="J42" s="8">
        <f t="shared" si="5"/>
        <v>27.69</v>
      </c>
      <c r="K42" s="86">
        <f>IF(Tableau1[[#This Row],[Id Impression]]&lt;&gt;0,WORKDAY(stats!$L$2,Tableau1[[#This Row],[Id Impression]],Férier)-1,0)</f>
        <v>43009</v>
      </c>
      <c r="L42" s="9">
        <v>19</v>
      </c>
      <c r="M42" s="66"/>
      <c r="N42" s="66"/>
      <c r="O42" s="66"/>
      <c r="P42" s="66"/>
      <c r="Q42" s="66"/>
    </row>
    <row r="43" spans="1:17" ht="12.9" customHeight="1" x14ac:dyDescent="0.55000000000000004">
      <c r="A43" s="10" t="s">
        <v>59</v>
      </c>
      <c r="B43" s="10" t="s">
        <v>47</v>
      </c>
      <c r="C43" s="4" t="s">
        <v>54</v>
      </c>
      <c r="D43" s="4">
        <v>1</v>
      </c>
      <c r="E43" s="4">
        <v>1</v>
      </c>
      <c r="F43" s="6">
        <v>5.4166666666666669E-2</v>
      </c>
      <c r="G43" s="7">
        <f t="shared" si="6"/>
        <v>5.4166666666666669E-2</v>
      </c>
      <c r="H43" s="4">
        <v>10.53</v>
      </c>
      <c r="I43" s="7">
        <f t="shared" si="4"/>
        <v>5.4166666666666669E-2</v>
      </c>
      <c r="J43" s="8">
        <f t="shared" si="5"/>
        <v>10.53</v>
      </c>
      <c r="K43" s="86">
        <f>IF(Tableau1[[#This Row],[Id Impression]]&lt;&gt;0,WORKDAY(stats!$L$2,Tableau1[[#This Row],[Id Impression]],Férier)-1,0)</f>
        <v>43010</v>
      </c>
      <c r="L43" s="9">
        <v>20</v>
      </c>
      <c r="M43" s="66"/>
      <c r="N43" s="66"/>
      <c r="O43" s="66"/>
      <c r="P43" s="66"/>
      <c r="Q43" s="66"/>
    </row>
    <row r="44" spans="1:17" ht="12.9" customHeight="1" x14ac:dyDescent="0.55000000000000004">
      <c r="A44" s="10" t="s">
        <v>59</v>
      </c>
      <c r="B44" s="10" t="s">
        <v>47</v>
      </c>
      <c r="C44" s="4" t="s">
        <v>55</v>
      </c>
      <c r="D44" s="4">
        <v>1</v>
      </c>
      <c r="E44" s="4">
        <v>1</v>
      </c>
      <c r="F44" s="6">
        <v>0.12569444444444444</v>
      </c>
      <c r="G44" s="7">
        <f t="shared" si="6"/>
        <v>0.12569444444444444</v>
      </c>
      <c r="H44" s="4">
        <v>20.34</v>
      </c>
      <c r="I44" s="7">
        <f t="shared" si="4"/>
        <v>0.12569444444444444</v>
      </c>
      <c r="J44" s="8">
        <f t="shared" si="5"/>
        <v>20.34</v>
      </c>
      <c r="K44" s="86">
        <f>IF(Tableau1[[#This Row],[Id Impression]]&lt;&gt;0,WORKDAY(stats!$L$2,Tableau1[[#This Row],[Id Impression]],Férier)-1,0)</f>
        <v>43010</v>
      </c>
      <c r="L44" s="9">
        <v>20</v>
      </c>
      <c r="M44" s="66"/>
      <c r="N44" s="66"/>
      <c r="O44" s="66"/>
      <c r="P44" s="66"/>
      <c r="Q44" s="66"/>
    </row>
    <row r="45" spans="1:17" ht="12.9" customHeight="1" x14ac:dyDescent="0.55000000000000004">
      <c r="A45" s="10" t="s">
        <v>59</v>
      </c>
      <c r="B45" s="10" t="s">
        <v>47</v>
      </c>
      <c r="C45" s="4" t="s">
        <v>56</v>
      </c>
      <c r="D45" s="4">
        <v>1</v>
      </c>
      <c r="E45" s="4">
        <v>1</v>
      </c>
      <c r="F45" s="6">
        <v>5.8333333333333327E-2</v>
      </c>
      <c r="G45" s="7">
        <f t="shared" si="6"/>
        <v>5.8333333333333327E-2</v>
      </c>
      <c r="H45" s="4">
        <v>14.44</v>
      </c>
      <c r="I45" s="7">
        <f t="shared" si="4"/>
        <v>5.8333333333333327E-2</v>
      </c>
      <c r="J45" s="8">
        <f t="shared" si="5"/>
        <v>14.44</v>
      </c>
      <c r="K45" s="86">
        <f>IF(Tableau1[[#This Row],[Id Impression]]&lt;&gt;0,WORKDAY(stats!$L$2,Tableau1[[#This Row],[Id Impression]],Férier)-1,0)</f>
        <v>43011</v>
      </c>
      <c r="L45" s="9">
        <v>21</v>
      </c>
      <c r="M45" s="66"/>
      <c r="N45" s="66"/>
      <c r="O45" s="66"/>
      <c r="P45" s="66"/>
      <c r="Q45" s="66"/>
    </row>
    <row r="46" spans="1:17" ht="12.9" customHeight="1" x14ac:dyDescent="0.55000000000000004">
      <c r="A46" s="10" t="s">
        <v>59</v>
      </c>
      <c r="B46" s="10" t="s">
        <v>47</v>
      </c>
      <c r="C46" s="10" t="s">
        <v>57</v>
      </c>
      <c r="D46" s="4">
        <v>1</v>
      </c>
      <c r="E46" s="4">
        <v>1</v>
      </c>
      <c r="F46" s="11">
        <v>0.1125</v>
      </c>
      <c r="G46" s="7">
        <f t="shared" si="6"/>
        <v>0.1125</v>
      </c>
      <c r="H46" s="10">
        <v>23.91</v>
      </c>
      <c r="I46" s="7">
        <f t="shared" si="4"/>
        <v>0.1125</v>
      </c>
      <c r="J46" s="8">
        <f t="shared" si="5"/>
        <v>23.91</v>
      </c>
      <c r="K46" s="86">
        <f>IF(Tableau1[[#This Row],[Id Impression]]&lt;&gt;0,WORKDAY(stats!$L$2,Tableau1[[#This Row],[Id Impression]],Férier)-1,0)</f>
        <v>43011</v>
      </c>
      <c r="L46" s="9">
        <v>21</v>
      </c>
      <c r="M46" s="66"/>
      <c r="N46" s="66"/>
      <c r="O46" s="66"/>
      <c r="P46" s="66"/>
      <c r="Q46" s="66"/>
    </row>
    <row r="47" spans="1:17" ht="12.9" customHeight="1" x14ac:dyDescent="0.55000000000000004">
      <c r="A47" s="10" t="s">
        <v>59</v>
      </c>
      <c r="B47" s="10" t="s">
        <v>47</v>
      </c>
      <c r="C47" s="4" t="s">
        <v>58</v>
      </c>
      <c r="D47" s="4">
        <v>1</v>
      </c>
      <c r="E47" s="4">
        <v>1</v>
      </c>
      <c r="F47" s="11">
        <v>6.6666666666666666E-2</v>
      </c>
      <c r="G47" s="7">
        <f t="shared" si="6"/>
        <v>6.6666666666666666E-2</v>
      </c>
      <c r="H47" s="10">
        <v>18.760000000000002</v>
      </c>
      <c r="I47" s="7">
        <f t="shared" si="4"/>
        <v>6.6666666666666666E-2</v>
      </c>
      <c r="J47" s="8">
        <f t="shared" si="5"/>
        <v>18.760000000000002</v>
      </c>
      <c r="K47" s="86">
        <f>IF(Tableau1[[#This Row],[Id Impression]]&lt;&gt;0,WORKDAY(stats!$L$2,Tableau1[[#This Row],[Id Impression]],Férier)-1,0)</f>
        <v>43012</v>
      </c>
      <c r="L47" s="9">
        <v>22</v>
      </c>
      <c r="M47" s="66"/>
      <c r="N47" s="66"/>
      <c r="O47" s="66"/>
      <c r="P47" s="66"/>
      <c r="Q47" s="66"/>
    </row>
    <row r="48" spans="1:17" ht="13.2" customHeight="1" x14ac:dyDescent="0.55000000000000004">
      <c r="A48" s="10" t="s">
        <v>59</v>
      </c>
      <c r="B48" s="10" t="s">
        <v>60</v>
      </c>
      <c r="C48" s="4" t="s">
        <v>61</v>
      </c>
      <c r="D48" s="4">
        <v>1</v>
      </c>
      <c r="E48" s="4">
        <v>1</v>
      </c>
      <c r="F48" s="6">
        <v>9.2361111111111116E-2</v>
      </c>
      <c r="G48" s="7">
        <f t="shared" si="6"/>
        <v>9.2361111111111116E-2</v>
      </c>
      <c r="H48" s="4">
        <v>26.58</v>
      </c>
      <c r="I48" s="7">
        <f t="shared" si="4"/>
        <v>9.2361111111111116E-2</v>
      </c>
      <c r="J48" s="8">
        <f t="shared" si="5"/>
        <v>26.58</v>
      </c>
      <c r="K48" s="86">
        <f>IF(Tableau1[[#This Row],[Id Impression]]&lt;&gt;0,WORKDAY(stats!$L$2,Tableau1[[#This Row],[Id Impression]],Férier)-1,0)</f>
        <v>43012</v>
      </c>
      <c r="L48" s="9">
        <v>22</v>
      </c>
      <c r="M48" s="66"/>
      <c r="N48" s="66"/>
      <c r="O48" s="66"/>
      <c r="P48" s="66"/>
      <c r="Q48" s="66"/>
    </row>
    <row r="49" spans="1:17" ht="12.9" customHeight="1" x14ac:dyDescent="0.55000000000000004">
      <c r="A49" s="10" t="s">
        <v>59</v>
      </c>
      <c r="B49" s="10" t="s">
        <v>47</v>
      </c>
      <c r="C49" s="4" t="s">
        <v>62</v>
      </c>
      <c r="D49" s="4">
        <v>1</v>
      </c>
      <c r="E49" s="4">
        <v>1</v>
      </c>
      <c r="F49" s="6">
        <v>7.6388888888888895E-2</v>
      </c>
      <c r="G49" s="7">
        <f t="shared" si="6"/>
        <v>7.6388888888888895E-2</v>
      </c>
      <c r="H49" s="4">
        <v>14.81</v>
      </c>
      <c r="I49" s="7">
        <f t="shared" si="4"/>
        <v>7.6388888888888895E-2</v>
      </c>
      <c r="J49" s="8">
        <f t="shared" si="5"/>
        <v>14.81</v>
      </c>
      <c r="K49" s="86">
        <f>IF(Tableau1[[#This Row],[Id Impression]]&lt;&gt;0,WORKDAY(stats!$L$2,Tableau1[[#This Row],[Id Impression]],Férier)-1,0)</f>
        <v>43013</v>
      </c>
      <c r="L49" s="9">
        <v>23</v>
      </c>
      <c r="M49" s="66"/>
      <c r="N49" s="66"/>
      <c r="O49" s="66"/>
      <c r="P49" s="66"/>
      <c r="Q49" s="66"/>
    </row>
    <row r="50" spans="1:17" ht="12.9" customHeight="1" x14ac:dyDescent="0.55000000000000004">
      <c r="A50" s="10" t="s">
        <v>59</v>
      </c>
      <c r="B50" s="10" t="s">
        <v>47</v>
      </c>
      <c r="C50" s="4" t="s">
        <v>63</v>
      </c>
      <c r="D50" s="4">
        <v>2</v>
      </c>
      <c r="E50" s="4">
        <v>2</v>
      </c>
      <c r="F50" s="6">
        <v>4.5833333333333337E-2</v>
      </c>
      <c r="G50" s="7">
        <f t="shared" si="6"/>
        <v>4.5833333333333337E-2</v>
      </c>
      <c r="H50" s="4">
        <v>11.48</v>
      </c>
      <c r="I50" s="7">
        <f t="shared" si="4"/>
        <v>9.1666666666666674E-2</v>
      </c>
      <c r="J50" s="8">
        <f t="shared" si="5"/>
        <v>22.96</v>
      </c>
      <c r="K50" s="86">
        <f>IF(Tableau1[[#This Row],[Id Impression]]&lt;&gt;0,WORKDAY(stats!$L$2,Tableau1[[#This Row],[Id Impression]],Férier)-1,0)</f>
        <v>43013</v>
      </c>
      <c r="L50" s="9">
        <v>23</v>
      </c>
      <c r="M50" s="66"/>
      <c r="N50" s="66"/>
      <c r="O50" s="66"/>
      <c r="P50" s="66"/>
      <c r="Q50" s="66"/>
    </row>
    <row r="51" spans="1:17" ht="12.9" customHeight="1" x14ac:dyDescent="0.55000000000000004">
      <c r="A51" s="10" t="s">
        <v>59</v>
      </c>
      <c r="B51" s="10" t="s">
        <v>47</v>
      </c>
      <c r="C51" s="4" t="s">
        <v>64</v>
      </c>
      <c r="D51" s="4">
        <v>2</v>
      </c>
      <c r="E51" s="4">
        <v>2</v>
      </c>
      <c r="F51" s="6">
        <v>8.5416666666666655E-2</v>
      </c>
      <c r="G51" s="7">
        <f t="shared" si="6"/>
        <v>8.5416666666666655E-2</v>
      </c>
      <c r="H51" s="4">
        <v>26.5</v>
      </c>
      <c r="I51" s="7">
        <f t="shared" si="4"/>
        <v>0.17083333333333331</v>
      </c>
      <c r="J51" s="8">
        <f t="shared" si="5"/>
        <v>53</v>
      </c>
      <c r="K51" s="86">
        <f>IF(Tableau1[[#This Row],[Id Impression]]&lt;&gt;0,WORKDAY(stats!$L$2,Tableau1[[#This Row],[Id Impression]],Férier)-1,0)</f>
        <v>43016</v>
      </c>
      <c r="L51" s="9">
        <v>24</v>
      </c>
      <c r="M51" s="66"/>
      <c r="N51" s="66"/>
      <c r="O51" s="66"/>
      <c r="P51" s="66"/>
      <c r="Q51" s="66"/>
    </row>
    <row r="52" spans="1:17" ht="12.9" customHeight="1" x14ac:dyDescent="0.55000000000000004">
      <c r="A52" s="10" t="s">
        <v>59</v>
      </c>
      <c r="B52" s="10" t="s">
        <v>47</v>
      </c>
      <c r="C52" s="4" t="s">
        <v>65</v>
      </c>
      <c r="D52" s="4">
        <v>1</v>
      </c>
      <c r="E52" s="4">
        <v>1</v>
      </c>
      <c r="F52" s="6">
        <v>0.1763888888888889</v>
      </c>
      <c r="G52" s="7">
        <f t="shared" si="6"/>
        <v>0.1763888888888889</v>
      </c>
      <c r="H52" s="4">
        <v>33.9</v>
      </c>
      <c r="I52" s="7">
        <f t="shared" si="4"/>
        <v>0.1763888888888889</v>
      </c>
      <c r="J52" s="8">
        <f t="shared" si="5"/>
        <v>33.9</v>
      </c>
      <c r="K52" s="86">
        <f>IF(Tableau1[[#This Row],[Id Impression]]&lt;&gt;0,WORKDAY(stats!$L$2,Tableau1[[#This Row],[Id Impression]],Férier)-1,0)</f>
        <v>43017</v>
      </c>
      <c r="L52" s="9">
        <v>25</v>
      </c>
      <c r="M52" s="66"/>
      <c r="N52" s="66"/>
      <c r="O52" s="66"/>
      <c r="P52" s="66"/>
      <c r="Q52" s="66"/>
    </row>
    <row r="53" spans="1:17" ht="13.2" customHeight="1" x14ac:dyDescent="0.55000000000000004">
      <c r="A53" s="10" t="s">
        <v>59</v>
      </c>
      <c r="B53" s="10" t="s">
        <v>60</v>
      </c>
      <c r="C53" s="4" t="s">
        <v>66</v>
      </c>
      <c r="D53" s="4">
        <v>1</v>
      </c>
      <c r="E53" s="4">
        <v>1</v>
      </c>
      <c r="F53" s="6">
        <v>0.20208333333333331</v>
      </c>
      <c r="G53" s="7">
        <f t="shared" si="6"/>
        <v>0.20208333333333331</v>
      </c>
      <c r="H53" s="4">
        <v>49.36</v>
      </c>
      <c r="I53" s="7">
        <f t="shared" si="4"/>
        <v>0.20208333333333331</v>
      </c>
      <c r="J53" s="8">
        <f t="shared" si="5"/>
        <v>49.36</v>
      </c>
      <c r="K53" s="86">
        <f>IF(Tableau1[[#This Row],[Id Impression]]&lt;&gt;0,WORKDAY(stats!$L$2,Tableau1[[#This Row],[Id Impression]],Férier)-1,0)</f>
        <v>43018</v>
      </c>
      <c r="L53" s="9">
        <v>26</v>
      </c>
      <c r="M53" s="66"/>
      <c r="N53" s="66"/>
      <c r="O53" s="66"/>
      <c r="P53" s="66"/>
      <c r="Q53" s="66"/>
    </row>
    <row r="54" spans="1:17" ht="12.9" customHeight="1" x14ac:dyDescent="0.55000000000000004">
      <c r="A54" s="10" t="s">
        <v>59</v>
      </c>
      <c r="B54" s="10" t="s">
        <v>47</v>
      </c>
      <c r="C54" s="4" t="s">
        <v>67</v>
      </c>
      <c r="D54" s="4">
        <v>2</v>
      </c>
      <c r="E54" s="4">
        <v>2</v>
      </c>
      <c r="F54" s="6">
        <v>0.10347222222222223</v>
      </c>
      <c r="G54" s="7">
        <f t="shared" si="6"/>
        <v>0.10347222222222223</v>
      </c>
      <c r="H54" s="4">
        <v>32.96</v>
      </c>
      <c r="I54" s="7">
        <f t="shared" si="4"/>
        <v>0.20694444444444446</v>
      </c>
      <c r="J54" s="8">
        <f t="shared" si="5"/>
        <v>65.92</v>
      </c>
      <c r="K54" s="86">
        <f>IF(Tableau1[[#This Row],[Id Impression]]&lt;&gt;0,WORKDAY(stats!$L$2,Tableau1[[#This Row],[Id Impression]],Férier)-1,0)</f>
        <v>43019</v>
      </c>
      <c r="L54" s="9">
        <v>27</v>
      </c>
      <c r="M54" s="66"/>
      <c r="N54" s="66"/>
      <c r="O54" s="66"/>
      <c r="P54" s="66"/>
      <c r="Q54" s="66"/>
    </row>
    <row r="55" spans="1:17" ht="12.9" customHeight="1" x14ac:dyDescent="0.55000000000000004">
      <c r="A55" s="10" t="s">
        <v>59</v>
      </c>
      <c r="B55" s="10" t="s">
        <v>47</v>
      </c>
      <c r="C55" s="4" t="s">
        <v>68</v>
      </c>
      <c r="D55" s="4">
        <v>1</v>
      </c>
      <c r="E55" s="4">
        <v>1</v>
      </c>
      <c r="F55" s="6">
        <v>0.25763888888888892</v>
      </c>
      <c r="G55" s="7">
        <f t="shared" si="6"/>
        <v>0.25763888888888892</v>
      </c>
      <c r="H55" s="4">
        <v>47.45</v>
      </c>
      <c r="I55" s="7">
        <f t="shared" si="4"/>
        <v>0.25763888888888892</v>
      </c>
      <c r="J55" s="8">
        <f t="shared" si="5"/>
        <v>47.45</v>
      </c>
      <c r="K55" s="86">
        <f>IF(Tableau1[[#This Row],[Id Impression]]&lt;&gt;0,WORKDAY(stats!$L$2,Tableau1[[#This Row],[Id Impression]],Férier)-1,0)</f>
        <v>43020</v>
      </c>
      <c r="L55" s="9">
        <v>28</v>
      </c>
      <c r="M55" s="66"/>
      <c r="N55" s="66"/>
      <c r="O55" s="66"/>
      <c r="P55" s="66"/>
      <c r="Q55" s="66"/>
    </row>
    <row r="56" spans="1:17" ht="12.9" customHeight="1" x14ac:dyDescent="0.55000000000000004">
      <c r="A56" s="10" t="s">
        <v>59</v>
      </c>
      <c r="B56" s="10" t="s">
        <v>47</v>
      </c>
      <c r="C56" s="4" t="s">
        <v>69</v>
      </c>
      <c r="D56" s="4">
        <v>1</v>
      </c>
      <c r="E56" s="4">
        <v>1</v>
      </c>
      <c r="F56" s="6">
        <v>0.37083333333333335</v>
      </c>
      <c r="G56" s="7">
        <f t="shared" si="6"/>
        <v>0.37083333333333335</v>
      </c>
      <c r="H56" s="4">
        <v>70.88</v>
      </c>
      <c r="I56" s="7">
        <f t="shared" si="4"/>
        <v>0.37083333333333335</v>
      </c>
      <c r="J56" s="8">
        <f t="shared" si="5"/>
        <v>70.88</v>
      </c>
      <c r="K56" s="86">
        <f>IF(Tableau1[[#This Row],[Id Impression]]&lt;&gt;0,WORKDAY(stats!$L$2,Tableau1[[#This Row],[Id Impression]],Férier)-1,0)</f>
        <v>43023</v>
      </c>
      <c r="L56" s="9">
        <v>29</v>
      </c>
      <c r="M56" s="66"/>
      <c r="N56" s="66"/>
      <c r="O56" s="66"/>
      <c r="P56" s="66"/>
      <c r="Q56" s="66"/>
    </row>
    <row r="57" spans="1:17" x14ac:dyDescent="0.55000000000000004">
      <c r="A57" s="10" t="s">
        <v>70</v>
      </c>
      <c r="B57" s="10" t="s">
        <v>70</v>
      </c>
      <c r="C57" s="10" t="s">
        <v>71</v>
      </c>
      <c r="D57" s="5">
        <v>1</v>
      </c>
      <c r="E57" s="5">
        <v>1</v>
      </c>
      <c r="F57" s="11">
        <v>0.23263888888888887</v>
      </c>
      <c r="G57" s="7">
        <f t="shared" si="6"/>
        <v>0.23263888888888887</v>
      </c>
      <c r="H57" s="10">
        <v>58.14</v>
      </c>
      <c r="I57" s="7">
        <f t="shared" si="4"/>
        <v>0.23263888888888887</v>
      </c>
      <c r="J57" s="8">
        <f t="shared" si="5"/>
        <v>58.14</v>
      </c>
      <c r="K57" s="86">
        <f>IF(Tableau1[[#This Row],[Id Impression]]&lt;&gt;0,WORKDAY(stats!$L$2,Tableau1[[#This Row],[Id Impression]],Férier)-1,0)</f>
        <v>43024</v>
      </c>
      <c r="L57" s="9">
        <v>30</v>
      </c>
      <c r="M57" s="66"/>
      <c r="N57" s="66"/>
      <c r="O57" s="66"/>
      <c r="P57" s="66"/>
      <c r="Q57" s="66"/>
    </row>
    <row r="58" spans="1:17" x14ac:dyDescent="0.55000000000000004">
      <c r="A58" s="10" t="s">
        <v>70</v>
      </c>
      <c r="B58" s="10" t="s">
        <v>72</v>
      </c>
      <c r="C58" s="4" t="s">
        <v>73</v>
      </c>
      <c r="D58" s="5">
        <v>1</v>
      </c>
      <c r="E58" s="5">
        <v>1</v>
      </c>
      <c r="F58" s="6">
        <v>5.7638888888888885E-2</v>
      </c>
      <c r="G58" s="7">
        <f t="shared" si="6"/>
        <v>5.7638888888888885E-2</v>
      </c>
      <c r="H58" s="4">
        <v>11.24</v>
      </c>
      <c r="I58" s="7">
        <f t="shared" si="4"/>
        <v>5.7638888888888885E-2</v>
      </c>
      <c r="J58" s="8">
        <f t="shared" si="5"/>
        <v>11.24</v>
      </c>
      <c r="K58" s="86">
        <f>IF(Tableau1[[#This Row],[Id Impression]]&lt;&gt;0,WORKDAY(stats!$L$2,Tableau1[[#This Row],[Id Impression]],Férier)-1,0)</f>
        <v>43025</v>
      </c>
      <c r="L58" s="9">
        <v>31</v>
      </c>
      <c r="M58" s="66"/>
      <c r="N58" s="66"/>
      <c r="O58" s="66"/>
      <c r="P58" s="66"/>
      <c r="Q58" s="66"/>
    </row>
    <row r="59" spans="1:17" x14ac:dyDescent="0.55000000000000004">
      <c r="A59" s="10" t="s">
        <v>70</v>
      </c>
      <c r="B59" s="10" t="s">
        <v>72</v>
      </c>
      <c r="C59" s="4" t="s">
        <v>74</v>
      </c>
      <c r="D59" s="5">
        <v>1</v>
      </c>
      <c r="E59" s="5">
        <v>1</v>
      </c>
      <c r="F59" s="6">
        <v>9.9999999999999992E-2</v>
      </c>
      <c r="G59" s="7">
        <f t="shared" si="6"/>
        <v>9.9999999999999992E-2</v>
      </c>
      <c r="H59" s="4">
        <v>23.16</v>
      </c>
      <c r="I59" s="7">
        <f t="shared" si="4"/>
        <v>9.9999999999999992E-2</v>
      </c>
      <c r="J59" s="8">
        <f t="shared" si="5"/>
        <v>23.16</v>
      </c>
      <c r="K59" s="86">
        <f>IF(Tableau1[[#This Row],[Id Impression]]&lt;&gt;0,WORKDAY(stats!$L$2,Tableau1[[#This Row],[Id Impression]],Férier)-1,0)</f>
        <v>43025</v>
      </c>
      <c r="L59" s="9">
        <v>31</v>
      </c>
      <c r="M59" s="66"/>
      <c r="N59" s="66"/>
      <c r="O59" s="66"/>
      <c r="P59" s="66"/>
      <c r="Q59" s="66"/>
    </row>
    <row r="60" spans="1:17" x14ac:dyDescent="0.55000000000000004">
      <c r="A60" s="10" t="s">
        <v>70</v>
      </c>
      <c r="B60" s="10" t="s">
        <v>70</v>
      </c>
      <c r="C60" s="10" t="s">
        <v>75</v>
      </c>
      <c r="D60" s="5">
        <v>1</v>
      </c>
      <c r="E60" s="5">
        <v>1</v>
      </c>
      <c r="F60" s="11">
        <v>5.9027777777777783E-2</v>
      </c>
      <c r="G60" s="7">
        <f t="shared" si="6"/>
        <v>5.9027777777777783E-2</v>
      </c>
      <c r="H60" s="10">
        <v>14.97</v>
      </c>
      <c r="I60" s="7">
        <f t="shared" si="4"/>
        <v>5.9027777777777783E-2</v>
      </c>
      <c r="J60" s="8">
        <f t="shared" si="5"/>
        <v>14.97</v>
      </c>
      <c r="K60" s="86">
        <f>IF(Tableau1[[#This Row],[Id Impression]]&lt;&gt;0,WORKDAY(stats!$L$2,Tableau1[[#This Row],[Id Impression]],Férier)-1,0)</f>
        <v>43026</v>
      </c>
      <c r="L60" s="9">
        <v>32</v>
      </c>
      <c r="M60" s="66"/>
      <c r="N60" s="66"/>
      <c r="O60" s="66"/>
      <c r="P60" s="66"/>
      <c r="Q60" s="66"/>
    </row>
    <row r="61" spans="1:17" x14ac:dyDescent="0.55000000000000004">
      <c r="A61" s="10" t="s">
        <v>70</v>
      </c>
      <c r="B61" s="10" t="s">
        <v>72</v>
      </c>
      <c r="C61" s="4" t="s">
        <v>57</v>
      </c>
      <c r="D61" s="5">
        <v>1</v>
      </c>
      <c r="E61" s="5">
        <v>1</v>
      </c>
      <c r="F61" s="6">
        <v>0.10208333333333335</v>
      </c>
      <c r="G61" s="7">
        <f t="shared" si="6"/>
        <v>0.10208333333333335</v>
      </c>
      <c r="H61" s="4">
        <v>32.520000000000003</v>
      </c>
      <c r="I61" s="7">
        <f t="shared" si="4"/>
        <v>0.10208333333333335</v>
      </c>
      <c r="J61" s="8">
        <f t="shared" si="5"/>
        <v>32.520000000000003</v>
      </c>
      <c r="K61" s="86">
        <f>IF(Tableau1[[#This Row],[Id Impression]]&lt;&gt;0,WORKDAY(stats!$L$2,Tableau1[[#This Row],[Id Impression]],Férier)-1,0)</f>
        <v>43026</v>
      </c>
      <c r="L61" s="9">
        <v>32</v>
      </c>
      <c r="M61" s="66"/>
      <c r="N61" s="66"/>
      <c r="O61" s="66"/>
      <c r="P61" s="66"/>
      <c r="Q61" s="66"/>
    </row>
    <row r="62" spans="1:17" x14ac:dyDescent="0.55000000000000004">
      <c r="A62" s="10" t="s">
        <v>70</v>
      </c>
      <c r="B62" s="10" t="s">
        <v>70</v>
      </c>
      <c r="C62" s="10" t="s">
        <v>76</v>
      </c>
      <c r="D62" s="5">
        <v>1</v>
      </c>
      <c r="E62" s="5">
        <v>1</v>
      </c>
      <c r="F62" s="11">
        <v>0.1076388888888889</v>
      </c>
      <c r="G62" s="7">
        <f t="shared" si="6"/>
        <v>0.1076388888888889</v>
      </c>
      <c r="H62" s="10">
        <v>29.74</v>
      </c>
      <c r="I62" s="7">
        <f t="shared" si="4"/>
        <v>0.1076388888888889</v>
      </c>
      <c r="J62" s="8">
        <f t="shared" si="5"/>
        <v>29.74</v>
      </c>
      <c r="K62" s="86">
        <f>IF(Tableau1[[#This Row],[Id Impression]]&lt;&gt;0,WORKDAY(stats!$L$2,Tableau1[[#This Row],[Id Impression]],Férier)-1,0)</f>
        <v>43027</v>
      </c>
      <c r="L62" s="9">
        <v>33</v>
      </c>
      <c r="M62" s="66"/>
      <c r="N62" s="66"/>
      <c r="O62" s="66"/>
      <c r="P62" s="66"/>
      <c r="Q62" s="66"/>
    </row>
    <row r="63" spans="1:17" x14ac:dyDescent="0.55000000000000004">
      <c r="A63" s="10" t="s">
        <v>70</v>
      </c>
      <c r="B63" s="10" t="s">
        <v>72</v>
      </c>
      <c r="C63" s="10" t="s">
        <v>77</v>
      </c>
      <c r="D63" s="5">
        <v>1</v>
      </c>
      <c r="E63" s="5">
        <v>1</v>
      </c>
      <c r="F63" s="11">
        <v>8.2638888888888887E-2</v>
      </c>
      <c r="G63" s="7">
        <f t="shared" si="6"/>
        <v>8.2638888888888887E-2</v>
      </c>
      <c r="H63" s="10">
        <v>16.920000000000002</v>
      </c>
      <c r="I63" s="7">
        <f t="shared" si="4"/>
        <v>8.2638888888888887E-2</v>
      </c>
      <c r="J63" s="8">
        <f t="shared" si="5"/>
        <v>16.920000000000002</v>
      </c>
      <c r="K63" s="86">
        <f>IF(Tableau1[[#This Row],[Id Impression]]&lt;&gt;0,WORKDAY(stats!$L$2,Tableau1[[#This Row],[Id Impression]],Férier)-1,0)</f>
        <v>43027</v>
      </c>
      <c r="L63" s="9">
        <v>33</v>
      </c>
      <c r="M63" s="66"/>
      <c r="N63" s="66"/>
      <c r="O63" s="66"/>
      <c r="P63" s="66"/>
      <c r="Q63" s="66"/>
    </row>
    <row r="64" spans="1:17" x14ac:dyDescent="0.55000000000000004">
      <c r="A64" s="10" t="s">
        <v>70</v>
      </c>
      <c r="B64" s="10" t="s">
        <v>70</v>
      </c>
      <c r="C64" s="10" t="s">
        <v>78</v>
      </c>
      <c r="D64" s="5">
        <v>1</v>
      </c>
      <c r="E64" s="5">
        <v>1</v>
      </c>
      <c r="F64" s="11">
        <v>0.14305555555555557</v>
      </c>
      <c r="G64" s="7">
        <f t="shared" si="6"/>
        <v>0.14305555555555557</v>
      </c>
      <c r="H64" s="10">
        <v>39.880000000000003</v>
      </c>
      <c r="I64" s="7">
        <f t="shared" si="4"/>
        <v>0.14305555555555557</v>
      </c>
      <c r="J64" s="8">
        <f t="shared" si="5"/>
        <v>39.880000000000003</v>
      </c>
      <c r="K64" s="86">
        <f>IF(Tableau1[[#This Row],[Id Impression]]&lt;&gt;0,WORKDAY(stats!$L$2,Tableau1[[#This Row],[Id Impression]],Férier)-1,0)</f>
        <v>43037</v>
      </c>
      <c r="L64" s="9">
        <v>34</v>
      </c>
      <c r="M64" s="66"/>
      <c r="N64" s="66"/>
      <c r="O64" s="66"/>
      <c r="P64" s="66"/>
      <c r="Q64" s="66"/>
    </row>
    <row r="65" spans="1:17" x14ac:dyDescent="0.55000000000000004">
      <c r="A65" s="10" t="s">
        <v>70</v>
      </c>
      <c r="B65" s="10" t="s">
        <v>72</v>
      </c>
      <c r="C65" s="14" t="s">
        <v>79</v>
      </c>
      <c r="D65" s="5">
        <v>1</v>
      </c>
      <c r="E65" s="5">
        <v>1</v>
      </c>
      <c r="F65" s="15">
        <v>1.3194444444444444E-2</v>
      </c>
      <c r="G65" s="16">
        <f t="shared" si="6"/>
        <v>1.3194444444444444E-2</v>
      </c>
      <c r="H65" s="17">
        <v>3.68</v>
      </c>
      <c r="I65" s="7">
        <f t="shared" si="4"/>
        <v>1.3194444444444444E-2</v>
      </c>
      <c r="J65" s="8">
        <f t="shared" si="5"/>
        <v>3.68</v>
      </c>
      <c r="K65" s="86">
        <f>IF(Tableau1[[#This Row],[Id Impression]]&lt;&gt;0,WORKDAY(stats!$L$2,Tableau1[[#This Row],[Id Impression]],Férier)-1,0)</f>
        <v>43037</v>
      </c>
      <c r="L65" s="9">
        <v>34</v>
      </c>
      <c r="M65" s="66"/>
      <c r="N65" s="66"/>
      <c r="O65" s="66"/>
      <c r="P65" s="66"/>
      <c r="Q65" s="66"/>
    </row>
    <row r="66" spans="1:17" x14ac:dyDescent="0.55000000000000004">
      <c r="A66" s="10" t="s">
        <v>70</v>
      </c>
      <c r="B66" s="10" t="s">
        <v>72</v>
      </c>
      <c r="C66" s="10" t="s">
        <v>80</v>
      </c>
      <c r="D66" s="5">
        <v>1</v>
      </c>
      <c r="E66" s="5">
        <v>1</v>
      </c>
      <c r="F66" s="11">
        <v>0.10208333333333335</v>
      </c>
      <c r="G66" s="16">
        <f t="shared" si="6"/>
        <v>0.10208333333333335</v>
      </c>
      <c r="H66" s="10">
        <v>31.71</v>
      </c>
      <c r="I66" s="7">
        <f t="shared" si="4"/>
        <v>0.10208333333333335</v>
      </c>
      <c r="J66" s="8">
        <f t="shared" si="5"/>
        <v>31.71</v>
      </c>
      <c r="K66" s="86">
        <f>IF(Tableau1[[#This Row],[Id Impression]]&lt;&gt;0,WORKDAY(stats!$L$2,Tableau1[[#This Row],[Id Impression]],Férier)-1,0)</f>
        <v>43038</v>
      </c>
      <c r="L66" s="9">
        <v>35</v>
      </c>
      <c r="M66" s="66"/>
      <c r="N66" s="66"/>
      <c r="O66" s="66"/>
      <c r="P66" s="66"/>
      <c r="Q66" s="66"/>
    </row>
    <row r="67" spans="1:17" x14ac:dyDescent="0.55000000000000004">
      <c r="A67" s="10" t="s">
        <v>70</v>
      </c>
      <c r="B67" s="10" t="s">
        <v>72</v>
      </c>
      <c r="C67" s="10" t="s">
        <v>81</v>
      </c>
      <c r="D67" s="5">
        <v>1</v>
      </c>
      <c r="E67" s="5">
        <v>1</v>
      </c>
      <c r="F67" s="11">
        <v>0.11041666666666666</v>
      </c>
      <c r="G67" s="7">
        <f t="shared" si="6"/>
        <v>0.11041666666666666</v>
      </c>
      <c r="H67" s="10">
        <v>35.18</v>
      </c>
      <c r="I67" s="7">
        <f t="shared" si="4"/>
        <v>0.11041666666666666</v>
      </c>
      <c r="J67" s="8">
        <f t="shared" si="5"/>
        <v>35.18</v>
      </c>
      <c r="K67" s="86">
        <f>IF(Tableau1[[#This Row],[Id Impression]]&lt;&gt;0,WORKDAY(stats!$L$2,Tableau1[[#This Row],[Id Impression]],Férier)-1,0)</f>
        <v>43039</v>
      </c>
      <c r="L67" s="9">
        <v>36</v>
      </c>
      <c r="M67" s="66"/>
      <c r="N67" s="66"/>
      <c r="O67" s="66"/>
      <c r="P67" s="66"/>
      <c r="Q67" s="66"/>
    </row>
    <row r="68" spans="1:17" x14ac:dyDescent="0.55000000000000004">
      <c r="A68" s="10" t="s">
        <v>70</v>
      </c>
      <c r="B68" s="10" t="s">
        <v>72</v>
      </c>
      <c r="C68" s="10" t="s">
        <v>82</v>
      </c>
      <c r="D68" s="5">
        <v>1</v>
      </c>
      <c r="E68" s="5">
        <v>1</v>
      </c>
      <c r="F68" s="11">
        <v>0.14166666666666666</v>
      </c>
      <c r="G68" s="7">
        <f t="shared" si="6"/>
        <v>0.14166666666666666</v>
      </c>
      <c r="H68" s="10">
        <v>22.43</v>
      </c>
      <c r="I68" s="7">
        <f t="shared" si="4"/>
        <v>0.14166666666666666</v>
      </c>
      <c r="J68" s="8">
        <f t="shared" si="5"/>
        <v>22.43</v>
      </c>
      <c r="K68" s="86">
        <f>IF(Tableau1[[#This Row],[Id Impression]]&lt;&gt;0,WORKDAY(stats!$L$2,Tableau1[[#This Row],[Id Impression]],Férier)-1,0)</f>
        <v>43040</v>
      </c>
      <c r="L68" s="9">
        <v>37</v>
      </c>
      <c r="M68" s="66"/>
      <c r="N68" s="66"/>
      <c r="O68" s="66"/>
      <c r="P68" s="66"/>
      <c r="Q68" s="66"/>
    </row>
    <row r="69" spans="1:17" x14ac:dyDescent="0.55000000000000004">
      <c r="A69" s="10" t="s">
        <v>70</v>
      </c>
      <c r="B69" s="10" t="s">
        <v>72</v>
      </c>
      <c r="C69" s="10" t="s">
        <v>83</v>
      </c>
      <c r="D69" s="5">
        <v>2</v>
      </c>
      <c r="E69" s="5">
        <v>2</v>
      </c>
      <c r="F69" s="11">
        <v>6.0416666666666667E-2</v>
      </c>
      <c r="G69" s="7">
        <f t="shared" si="6"/>
        <v>6.0416666666666667E-2</v>
      </c>
      <c r="H69" s="10">
        <v>19.350000000000001</v>
      </c>
      <c r="I69" s="7">
        <f t="shared" si="4"/>
        <v>0.12083333333333333</v>
      </c>
      <c r="J69" s="8">
        <f t="shared" si="5"/>
        <v>38.700000000000003</v>
      </c>
      <c r="K69" s="86">
        <f>IF(Tableau1[[#This Row],[Id Impression]]&lt;&gt;0,WORKDAY(stats!$L$2,Tableau1[[#This Row],[Id Impression]],Férier)-1,0)</f>
        <v>43041</v>
      </c>
      <c r="L69" s="9">
        <v>38</v>
      </c>
      <c r="M69" s="66"/>
      <c r="N69" s="66"/>
      <c r="O69" s="66"/>
      <c r="P69" s="66"/>
      <c r="Q69" s="66"/>
    </row>
    <row r="70" spans="1:17" x14ac:dyDescent="0.55000000000000004">
      <c r="A70" s="10" t="s">
        <v>70</v>
      </c>
      <c r="B70" s="10" t="s">
        <v>72</v>
      </c>
      <c r="C70" s="10" t="s">
        <v>84</v>
      </c>
      <c r="D70" s="5">
        <v>1</v>
      </c>
      <c r="E70" s="5">
        <v>1</v>
      </c>
      <c r="F70" s="11">
        <v>0.13402777777777777</v>
      </c>
      <c r="G70" s="7">
        <f t="shared" si="6"/>
        <v>0.13402777777777777</v>
      </c>
      <c r="H70" s="10">
        <v>28.73</v>
      </c>
      <c r="I70" s="7">
        <f t="shared" si="4"/>
        <v>0.13402777777777777</v>
      </c>
      <c r="J70" s="8">
        <f t="shared" si="5"/>
        <v>28.73</v>
      </c>
      <c r="K70" s="86">
        <f>IF(Tableau1[[#This Row],[Id Impression]]&lt;&gt;0,WORKDAY(stats!$L$2,Tableau1[[#This Row],[Id Impression]],Férier)-1,0)</f>
        <v>43044</v>
      </c>
      <c r="L70" s="9">
        <v>39</v>
      </c>
      <c r="M70" s="66"/>
      <c r="N70" s="66"/>
      <c r="O70" s="66"/>
      <c r="P70" s="66"/>
      <c r="Q70" s="66"/>
    </row>
    <row r="71" spans="1:17" x14ac:dyDescent="0.55000000000000004">
      <c r="A71" s="10" t="s">
        <v>289</v>
      </c>
      <c r="B71" s="10" t="s">
        <v>289</v>
      </c>
      <c r="C71" s="10" t="s">
        <v>85</v>
      </c>
      <c r="D71" s="5">
        <v>2</v>
      </c>
      <c r="E71" s="5">
        <v>2</v>
      </c>
      <c r="F71" s="11">
        <v>0.10625</v>
      </c>
      <c r="G71" s="7">
        <f t="shared" si="6"/>
        <v>0.10625</v>
      </c>
      <c r="H71" s="10">
        <v>32.479999999999997</v>
      </c>
      <c r="I71" s="7">
        <f t="shared" si="4"/>
        <v>0.21249999999999999</v>
      </c>
      <c r="J71" s="8">
        <f t="shared" si="5"/>
        <v>64.959999999999994</v>
      </c>
      <c r="K71" s="86">
        <f>IF(Tableau1[[#This Row],[Id Impression]]&lt;&gt;0,WORKDAY(stats!$L$2,Tableau1[[#This Row],[Id Impression]],Férier)-1,0)</f>
        <v>43045</v>
      </c>
      <c r="L71" s="9">
        <v>40</v>
      </c>
      <c r="M71" s="66"/>
      <c r="N71" s="66"/>
      <c r="O71" s="66"/>
      <c r="P71" s="66"/>
      <c r="Q71" s="66"/>
    </row>
    <row r="72" spans="1:17" x14ac:dyDescent="0.55000000000000004">
      <c r="A72" s="10" t="s">
        <v>289</v>
      </c>
      <c r="B72" s="10" t="s">
        <v>289</v>
      </c>
      <c r="C72" s="10" t="s">
        <v>86</v>
      </c>
      <c r="D72" s="5">
        <v>2</v>
      </c>
      <c r="E72" s="5">
        <v>2</v>
      </c>
      <c r="F72" s="11">
        <v>0.10555555555555556</v>
      </c>
      <c r="G72" s="7">
        <f t="shared" ref="G72:G103" si="7">F72</f>
        <v>0.10555555555555556</v>
      </c>
      <c r="H72" s="10">
        <v>34.26</v>
      </c>
      <c r="I72" s="7">
        <f t="shared" ref="I72:I135" si="8">G72*E72</f>
        <v>0.21111111111111111</v>
      </c>
      <c r="J72" s="8">
        <f t="shared" ref="J72:J135" si="9">E72*H72</f>
        <v>68.52</v>
      </c>
      <c r="K72" s="86">
        <f>IF(Tableau1[[#This Row],[Id Impression]]&lt;&gt;0,WORKDAY(stats!$L$2,Tableau1[[#This Row],[Id Impression]],Férier)-1,0)</f>
        <v>43046</v>
      </c>
      <c r="L72" s="9">
        <v>41</v>
      </c>
      <c r="M72" s="66"/>
      <c r="N72" s="66"/>
      <c r="O72" s="66"/>
      <c r="P72" s="66"/>
      <c r="Q72" s="66"/>
    </row>
    <row r="73" spans="1:17" x14ac:dyDescent="0.55000000000000004">
      <c r="A73" s="10" t="s">
        <v>289</v>
      </c>
      <c r="B73" s="10" t="s">
        <v>289</v>
      </c>
      <c r="C73" s="10" t="s">
        <v>87</v>
      </c>
      <c r="D73" s="5">
        <v>2</v>
      </c>
      <c r="E73" s="5">
        <v>2</v>
      </c>
      <c r="F73" s="11">
        <v>7.6388888888888895E-2</v>
      </c>
      <c r="G73" s="7">
        <f t="shared" si="7"/>
        <v>7.6388888888888895E-2</v>
      </c>
      <c r="H73" s="10">
        <v>24.88</v>
      </c>
      <c r="I73" s="7">
        <f t="shared" si="8"/>
        <v>0.15277777777777779</v>
      </c>
      <c r="J73" s="8">
        <f t="shared" si="9"/>
        <v>49.76</v>
      </c>
      <c r="K73" s="86">
        <f>IF(Tableau1[[#This Row],[Id Impression]]&lt;&gt;0,WORKDAY(stats!$L$2,Tableau1[[#This Row],[Id Impression]],Férier)-1,0)</f>
        <v>43047</v>
      </c>
      <c r="L73" s="9">
        <v>42</v>
      </c>
      <c r="M73" s="66"/>
      <c r="N73" s="71">
        <f>SUM(J71:J101)</f>
        <v>1223.99</v>
      </c>
      <c r="O73" s="66"/>
      <c r="P73" s="66"/>
      <c r="Q73" s="66"/>
    </row>
    <row r="74" spans="1:17" x14ac:dyDescent="0.55000000000000004">
      <c r="A74" s="10" t="s">
        <v>289</v>
      </c>
      <c r="B74" s="10" t="s">
        <v>289</v>
      </c>
      <c r="C74" s="10" t="s">
        <v>88</v>
      </c>
      <c r="D74" s="5">
        <v>2</v>
      </c>
      <c r="E74" s="5">
        <v>2</v>
      </c>
      <c r="F74" s="6">
        <v>0.14583333333333334</v>
      </c>
      <c r="G74" s="7">
        <f t="shared" si="7"/>
        <v>0.14583333333333334</v>
      </c>
      <c r="H74" s="4">
        <v>46.69</v>
      </c>
      <c r="I74" s="7">
        <f t="shared" si="8"/>
        <v>0.29166666666666669</v>
      </c>
      <c r="J74" s="8">
        <f t="shared" si="9"/>
        <v>93.38</v>
      </c>
      <c r="K74" s="86">
        <f>IF(Tableau1[[#This Row],[Id Impression]]&lt;&gt;0,WORKDAY(stats!$L$2,Tableau1[[#This Row],[Id Impression]],Férier)-1,0)</f>
        <v>43048</v>
      </c>
      <c r="L74" s="9">
        <v>43</v>
      </c>
      <c r="M74" s="66"/>
      <c r="N74" s="66"/>
      <c r="O74" s="66"/>
      <c r="P74" s="66"/>
      <c r="Q74" s="66"/>
    </row>
    <row r="75" spans="1:17" x14ac:dyDescent="0.55000000000000004">
      <c r="A75" s="10" t="s">
        <v>289</v>
      </c>
      <c r="B75" s="10" t="s">
        <v>289</v>
      </c>
      <c r="C75" s="10" t="s">
        <v>89</v>
      </c>
      <c r="D75" s="5">
        <v>2</v>
      </c>
      <c r="E75" s="5">
        <v>2</v>
      </c>
      <c r="F75" s="6">
        <v>0.11319444444444444</v>
      </c>
      <c r="G75" s="7">
        <f t="shared" si="7"/>
        <v>0.11319444444444444</v>
      </c>
      <c r="H75" s="4">
        <v>34.76</v>
      </c>
      <c r="I75" s="7">
        <f t="shared" si="8"/>
        <v>0.22638888888888889</v>
      </c>
      <c r="J75" s="8">
        <f t="shared" si="9"/>
        <v>69.52</v>
      </c>
      <c r="K75" s="86">
        <f>IF(Tableau1[[#This Row],[Id Impression]]&lt;&gt;0,WORKDAY(stats!$L$2,Tableau1[[#This Row],[Id Impression]],Férier)-1,0)</f>
        <v>43051</v>
      </c>
      <c r="L75" s="9">
        <v>44</v>
      </c>
      <c r="M75" s="66"/>
      <c r="N75" s="66"/>
      <c r="O75" s="66"/>
      <c r="P75" s="66"/>
      <c r="Q75" s="66"/>
    </row>
    <row r="76" spans="1:17" x14ac:dyDescent="0.55000000000000004">
      <c r="A76" s="10" t="s">
        <v>289</v>
      </c>
      <c r="B76" s="10" t="s">
        <v>289</v>
      </c>
      <c r="C76" s="10" t="s">
        <v>90</v>
      </c>
      <c r="D76" s="18">
        <v>1</v>
      </c>
      <c r="E76" s="18">
        <v>1</v>
      </c>
      <c r="F76" s="11">
        <v>8.1250000000000003E-2</v>
      </c>
      <c r="G76" s="7">
        <f t="shared" si="7"/>
        <v>8.1250000000000003E-2</v>
      </c>
      <c r="H76" s="10">
        <v>25.98</v>
      </c>
      <c r="I76" s="7">
        <f t="shared" si="8"/>
        <v>8.1250000000000003E-2</v>
      </c>
      <c r="J76" s="8">
        <f t="shared" si="9"/>
        <v>25.98</v>
      </c>
      <c r="K76" s="86">
        <f>IF(Tableau1[[#This Row],[Id Impression]]&lt;&gt;0,WORKDAY(stats!$L$2,Tableau1[[#This Row],[Id Impression]],Férier)-1,0)</f>
        <v>43052</v>
      </c>
      <c r="L76" s="9">
        <v>45</v>
      </c>
      <c r="M76" s="66"/>
      <c r="N76" s="66"/>
      <c r="O76" s="66"/>
      <c r="P76" s="66"/>
      <c r="Q76" s="66"/>
    </row>
    <row r="77" spans="1:17" x14ac:dyDescent="0.55000000000000004">
      <c r="A77" s="10" t="s">
        <v>289</v>
      </c>
      <c r="B77" s="10" t="s">
        <v>289</v>
      </c>
      <c r="C77" s="10" t="s">
        <v>91</v>
      </c>
      <c r="D77" s="18">
        <v>1</v>
      </c>
      <c r="E77" s="18">
        <v>1</v>
      </c>
      <c r="F77" s="11">
        <v>7.4305555555555555E-2</v>
      </c>
      <c r="G77" s="7">
        <f t="shared" si="7"/>
        <v>7.4305555555555555E-2</v>
      </c>
      <c r="H77" s="10">
        <v>23.11</v>
      </c>
      <c r="I77" s="7">
        <f t="shared" si="8"/>
        <v>7.4305555555555555E-2</v>
      </c>
      <c r="J77" s="8">
        <f t="shared" si="9"/>
        <v>23.11</v>
      </c>
      <c r="K77" s="86">
        <f>IF(Tableau1[[#This Row],[Id Impression]]&lt;&gt;0,WORKDAY(stats!$L$2,Tableau1[[#This Row],[Id Impression]],Férier)-1,0)</f>
        <v>43052</v>
      </c>
      <c r="L77" s="9">
        <v>45</v>
      </c>
      <c r="M77" s="66"/>
      <c r="N77" s="66"/>
      <c r="O77" s="66"/>
      <c r="P77" s="66"/>
      <c r="Q77" s="66"/>
    </row>
    <row r="78" spans="1:17" x14ac:dyDescent="0.55000000000000004">
      <c r="A78" s="10" t="s">
        <v>289</v>
      </c>
      <c r="B78" s="10" t="s">
        <v>289</v>
      </c>
      <c r="C78" s="10" t="s">
        <v>92</v>
      </c>
      <c r="D78" s="18">
        <v>1</v>
      </c>
      <c r="E78" s="18">
        <v>1</v>
      </c>
      <c r="F78" s="11">
        <v>7.3611111111111113E-2</v>
      </c>
      <c r="G78" s="7">
        <f t="shared" si="7"/>
        <v>7.3611111111111113E-2</v>
      </c>
      <c r="H78" s="10">
        <v>22.54</v>
      </c>
      <c r="I78" s="7">
        <f t="shared" si="8"/>
        <v>7.3611111111111113E-2</v>
      </c>
      <c r="J78" s="8">
        <f t="shared" si="9"/>
        <v>22.54</v>
      </c>
      <c r="K78" s="86">
        <f>IF(Tableau1[[#This Row],[Id Impression]]&lt;&gt;0,WORKDAY(stats!$L$2,Tableau1[[#This Row],[Id Impression]],Férier)-1,0)</f>
        <v>43053</v>
      </c>
      <c r="L78" s="9">
        <v>46</v>
      </c>
      <c r="M78" s="66"/>
      <c r="N78" s="66"/>
      <c r="O78" s="66"/>
      <c r="P78" s="66"/>
      <c r="Q78" s="66"/>
    </row>
    <row r="79" spans="1:17" x14ac:dyDescent="0.55000000000000004">
      <c r="A79" s="10" t="s">
        <v>289</v>
      </c>
      <c r="B79" s="10" t="s">
        <v>289</v>
      </c>
      <c r="C79" s="10" t="s">
        <v>93</v>
      </c>
      <c r="D79" s="18">
        <v>1</v>
      </c>
      <c r="E79" s="18">
        <v>1</v>
      </c>
      <c r="F79" s="11">
        <v>7.9166666666666663E-2</v>
      </c>
      <c r="G79" s="7">
        <f t="shared" si="7"/>
        <v>7.9166666666666663E-2</v>
      </c>
      <c r="H79" s="10">
        <v>24.72</v>
      </c>
      <c r="I79" s="7">
        <f t="shared" si="8"/>
        <v>7.9166666666666663E-2</v>
      </c>
      <c r="J79" s="8">
        <f t="shared" si="9"/>
        <v>24.72</v>
      </c>
      <c r="K79" s="86">
        <f>IF(Tableau1[[#This Row],[Id Impression]]&lt;&gt;0,WORKDAY(stats!$L$2,Tableau1[[#This Row],[Id Impression]],Férier)-1,0)</f>
        <v>43053</v>
      </c>
      <c r="L79" s="9">
        <v>46</v>
      </c>
      <c r="M79" s="66"/>
      <c r="N79" s="66"/>
      <c r="O79" s="66"/>
      <c r="P79" s="66"/>
      <c r="Q79" s="66"/>
    </row>
    <row r="80" spans="1:17" x14ac:dyDescent="0.55000000000000004">
      <c r="A80" s="10" t="s">
        <v>289</v>
      </c>
      <c r="B80" s="10" t="s">
        <v>289</v>
      </c>
      <c r="C80" s="10" t="s">
        <v>94</v>
      </c>
      <c r="D80" s="18">
        <v>1</v>
      </c>
      <c r="E80" s="18">
        <v>1</v>
      </c>
      <c r="F80" s="11">
        <v>9.0972222222222218E-2</v>
      </c>
      <c r="G80" s="7">
        <f t="shared" si="7"/>
        <v>9.0972222222222218E-2</v>
      </c>
      <c r="H80" s="10">
        <v>29.74</v>
      </c>
      <c r="I80" s="7">
        <f t="shared" si="8"/>
        <v>9.0972222222222218E-2</v>
      </c>
      <c r="J80" s="8">
        <f t="shared" si="9"/>
        <v>29.74</v>
      </c>
      <c r="K80" s="86">
        <f>IF(Tableau1[[#This Row],[Id Impression]]&lt;&gt;0,WORKDAY(stats!$L$2,Tableau1[[#This Row],[Id Impression]],Férier)-1,0)</f>
        <v>43054</v>
      </c>
      <c r="L80" s="9">
        <v>47</v>
      </c>
      <c r="M80" s="66"/>
      <c r="N80" s="66"/>
      <c r="O80" s="66"/>
      <c r="P80" s="66"/>
      <c r="Q80" s="66"/>
    </row>
    <row r="81" spans="1:17" x14ac:dyDescent="0.55000000000000004">
      <c r="A81" s="10" t="s">
        <v>289</v>
      </c>
      <c r="B81" s="10" t="s">
        <v>289</v>
      </c>
      <c r="C81" s="10" t="s">
        <v>95</v>
      </c>
      <c r="D81" s="18">
        <v>1</v>
      </c>
      <c r="E81" s="18">
        <v>1</v>
      </c>
      <c r="F81" s="11">
        <v>8.819444444444445E-2</v>
      </c>
      <c r="G81" s="7">
        <f t="shared" si="7"/>
        <v>8.819444444444445E-2</v>
      </c>
      <c r="H81" s="10">
        <v>27.71</v>
      </c>
      <c r="I81" s="7">
        <f t="shared" si="8"/>
        <v>8.819444444444445E-2</v>
      </c>
      <c r="J81" s="8">
        <f t="shared" si="9"/>
        <v>27.71</v>
      </c>
      <c r="K81" s="86">
        <f>IF(Tableau1[[#This Row],[Id Impression]]&lt;&gt;0,WORKDAY(stats!$L$2,Tableau1[[#This Row],[Id Impression]],Férier)-1,0)</f>
        <v>43054</v>
      </c>
      <c r="L81" s="9">
        <v>47</v>
      </c>
      <c r="M81" s="66"/>
      <c r="N81" s="66"/>
      <c r="O81" s="66"/>
      <c r="P81" s="66"/>
      <c r="Q81" s="66"/>
    </row>
    <row r="82" spans="1:17" x14ac:dyDescent="0.55000000000000004">
      <c r="A82" s="10" t="s">
        <v>289</v>
      </c>
      <c r="B82" s="10" t="s">
        <v>289</v>
      </c>
      <c r="C82" s="10" t="s">
        <v>96</v>
      </c>
      <c r="D82" s="5">
        <v>2</v>
      </c>
      <c r="E82" s="5">
        <v>2</v>
      </c>
      <c r="F82" s="11">
        <v>4.5833333333333337E-2</v>
      </c>
      <c r="G82" s="7">
        <f t="shared" si="7"/>
        <v>4.5833333333333337E-2</v>
      </c>
      <c r="H82" s="10">
        <v>15.75</v>
      </c>
      <c r="I82" s="7">
        <f t="shared" si="8"/>
        <v>9.1666666666666674E-2</v>
      </c>
      <c r="J82" s="8">
        <f t="shared" si="9"/>
        <v>31.5</v>
      </c>
      <c r="K82" s="86">
        <f>IF(Tableau1[[#This Row],[Id Impression]]&lt;&gt;0,WORKDAY(stats!$L$2,Tableau1[[#This Row],[Id Impression]],Férier)-1,0)</f>
        <v>43055</v>
      </c>
      <c r="L82" s="9">
        <v>48</v>
      </c>
      <c r="M82" s="66"/>
      <c r="N82" s="66"/>
      <c r="O82" s="66"/>
      <c r="P82" s="66"/>
      <c r="Q82" s="66"/>
    </row>
    <row r="83" spans="1:17" x14ac:dyDescent="0.55000000000000004">
      <c r="A83" s="10" t="s">
        <v>289</v>
      </c>
      <c r="B83" s="10" t="s">
        <v>289</v>
      </c>
      <c r="C83" s="10" t="s">
        <v>97</v>
      </c>
      <c r="D83" s="5">
        <v>1</v>
      </c>
      <c r="E83" s="5">
        <v>1</v>
      </c>
      <c r="F83" s="6">
        <v>8.0555555555555561E-2</v>
      </c>
      <c r="G83" s="7">
        <f t="shared" si="7"/>
        <v>8.0555555555555561E-2</v>
      </c>
      <c r="H83" s="4">
        <v>22.86</v>
      </c>
      <c r="I83" s="7">
        <f t="shared" si="8"/>
        <v>8.0555555555555561E-2</v>
      </c>
      <c r="J83" s="8">
        <f t="shared" si="9"/>
        <v>22.86</v>
      </c>
      <c r="K83" s="86">
        <f>IF(Tableau1[[#This Row],[Id Impression]]&lt;&gt;0,WORKDAY(stats!$L$2,Tableau1[[#This Row],[Id Impression]],Férier)-1,0)</f>
        <v>43055</v>
      </c>
      <c r="L83" s="9">
        <v>48</v>
      </c>
      <c r="M83" s="66"/>
      <c r="N83" s="66"/>
      <c r="O83" s="66"/>
      <c r="P83" s="66"/>
      <c r="Q83" s="66"/>
    </row>
    <row r="84" spans="1:17" x14ac:dyDescent="0.55000000000000004">
      <c r="A84" s="10" t="s">
        <v>289</v>
      </c>
      <c r="B84" s="10" t="s">
        <v>289</v>
      </c>
      <c r="C84" s="10" t="s">
        <v>98</v>
      </c>
      <c r="D84" s="5">
        <v>2</v>
      </c>
      <c r="E84" s="5">
        <v>2</v>
      </c>
      <c r="F84" s="11">
        <v>6.3194444444444442E-2</v>
      </c>
      <c r="G84" s="7">
        <f t="shared" si="7"/>
        <v>6.3194444444444442E-2</v>
      </c>
      <c r="H84" s="10">
        <v>19.71</v>
      </c>
      <c r="I84" s="7">
        <f t="shared" si="8"/>
        <v>0.12638888888888888</v>
      </c>
      <c r="J84" s="8">
        <f t="shared" si="9"/>
        <v>39.42</v>
      </c>
      <c r="K84" s="86">
        <f>IF(Tableau1[[#This Row],[Id Impression]]&lt;&gt;0,WORKDAY(stats!$L$2,Tableau1[[#This Row],[Id Impression]],Férier)-1,0)</f>
        <v>43058</v>
      </c>
      <c r="L84" s="9">
        <v>49</v>
      </c>
      <c r="M84" s="66"/>
      <c r="N84" s="66"/>
      <c r="O84" s="66"/>
      <c r="P84" s="66"/>
      <c r="Q84" s="66"/>
    </row>
    <row r="85" spans="1:17" x14ac:dyDescent="0.55000000000000004">
      <c r="A85" s="10" t="s">
        <v>289</v>
      </c>
      <c r="B85" s="10" t="s">
        <v>289</v>
      </c>
      <c r="C85" s="10" t="s">
        <v>99</v>
      </c>
      <c r="D85" s="5">
        <v>1</v>
      </c>
      <c r="E85" s="5">
        <v>1</v>
      </c>
      <c r="F85" s="6">
        <v>0.14097222222222222</v>
      </c>
      <c r="G85" s="7">
        <f t="shared" si="7"/>
        <v>0.14097222222222222</v>
      </c>
      <c r="H85" s="4">
        <v>48.55</v>
      </c>
      <c r="I85" s="7">
        <f t="shared" si="8"/>
        <v>0.14097222222222222</v>
      </c>
      <c r="J85" s="8">
        <f t="shared" si="9"/>
        <v>48.55</v>
      </c>
      <c r="K85" s="86">
        <f>IF(Tableau1[[#This Row],[Id Impression]]&lt;&gt;0,WORKDAY(stats!$L$2,Tableau1[[#This Row],[Id Impression]],Férier)-1,0)</f>
        <v>43059</v>
      </c>
      <c r="L85" s="9">
        <v>50</v>
      </c>
      <c r="M85" s="66"/>
      <c r="N85" s="66"/>
      <c r="O85" s="66"/>
      <c r="P85" s="66"/>
      <c r="Q85" s="66"/>
    </row>
    <row r="86" spans="1:17" x14ac:dyDescent="0.55000000000000004">
      <c r="A86" s="10" t="s">
        <v>289</v>
      </c>
      <c r="B86" s="10" t="s">
        <v>289</v>
      </c>
      <c r="C86" s="4" t="s">
        <v>100</v>
      </c>
      <c r="D86" s="18">
        <v>1</v>
      </c>
      <c r="E86" s="18">
        <v>1</v>
      </c>
      <c r="F86" s="6">
        <v>9.8611111111111108E-2</v>
      </c>
      <c r="G86" s="7">
        <f t="shared" si="7"/>
        <v>9.8611111111111108E-2</v>
      </c>
      <c r="H86" s="4">
        <v>31.39</v>
      </c>
      <c r="I86" s="7">
        <f t="shared" si="8"/>
        <v>9.8611111111111108E-2</v>
      </c>
      <c r="J86" s="8">
        <f t="shared" si="9"/>
        <v>31.39</v>
      </c>
      <c r="K86" s="86">
        <f>IF(Tableau1[[#This Row],[Id Impression]]&lt;&gt;0,WORKDAY(stats!$L$2,Tableau1[[#This Row],[Id Impression]],Férier)-1,0)</f>
        <v>43060</v>
      </c>
      <c r="L86" s="9">
        <v>51</v>
      </c>
      <c r="M86" s="66"/>
      <c r="N86" s="66"/>
      <c r="O86" s="66"/>
      <c r="P86" s="66"/>
      <c r="Q86" s="66"/>
    </row>
    <row r="87" spans="1:17" x14ac:dyDescent="0.55000000000000004">
      <c r="A87" s="10" t="s">
        <v>289</v>
      </c>
      <c r="B87" s="10" t="s">
        <v>289</v>
      </c>
      <c r="C87" s="4" t="s">
        <v>103</v>
      </c>
      <c r="D87" s="18">
        <v>1</v>
      </c>
      <c r="E87" s="18">
        <v>1</v>
      </c>
      <c r="F87" s="6">
        <v>8.1944444444444445E-2</v>
      </c>
      <c r="G87" s="7">
        <f t="shared" si="7"/>
        <v>8.1944444444444445E-2</v>
      </c>
      <c r="H87" s="4">
        <v>28.03</v>
      </c>
      <c r="I87" s="7">
        <f t="shared" si="8"/>
        <v>8.1944444444444445E-2</v>
      </c>
      <c r="J87" s="8">
        <f t="shared" si="9"/>
        <v>28.03</v>
      </c>
      <c r="K87" s="86">
        <f>IF(Tableau1[[#This Row],[Id Impression]]&lt;&gt;0,WORKDAY(stats!$L$2,Tableau1[[#This Row],[Id Impression]],Férier)-1,0)</f>
        <v>43061</v>
      </c>
      <c r="L87" s="9">
        <v>52</v>
      </c>
      <c r="M87" s="66"/>
      <c r="N87" s="66"/>
      <c r="O87" s="66"/>
      <c r="P87" s="66"/>
      <c r="Q87" s="66"/>
    </row>
    <row r="88" spans="1:17" ht="12.9" customHeight="1" x14ac:dyDescent="0.55000000000000004">
      <c r="A88" s="10" t="s">
        <v>289</v>
      </c>
      <c r="B88" s="10" t="s">
        <v>146</v>
      </c>
      <c r="C88" s="4" t="s">
        <v>185</v>
      </c>
      <c r="D88" s="5">
        <v>1</v>
      </c>
      <c r="E88" s="5">
        <v>1</v>
      </c>
      <c r="F88" s="6">
        <v>9.0277777777777776E-2</v>
      </c>
      <c r="G88" s="7">
        <f t="shared" si="7"/>
        <v>9.0277777777777776E-2</v>
      </c>
      <c r="H88" s="4">
        <v>20.2</v>
      </c>
      <c r="I88" s="7">
        <f t="shared" si="8"/>
        <v>9.0277777777777776E-2</v>
      </c>
      <c r="J88" s="8">
        <f t="shared" si="9"/>
        <v>20.2</v>
      </c>
      <c r="K88" s="86">
        <f>IF(Tableau1[[#This Row],[Id Impression]]&lt;&gt;0,WORKDAY(stats!$L$2,Tableau1[[#This Row],[Id Impression]],Férier)-1,0)</f>
        <v>43061</v>
      </c>
      <c r="L88" s="9">
        <v>52</v>
      </c>
      <c r="M88" s="66"/>
      <c r="N88" s="66"/>
      <c r="O88" s="66"/>
      <c r="P88" s="66"/>
      <c r="Q88" s="66"/>
    </row>
    <row r="89" spans="1:17" ht="12.9" customHeight="1" x14ac:dyDescent="0.55000000000000004">
      <c r="A89" s="10" t="s">
        <v>289</v>
      </c>
      <c r="B89" s="10" t="s">
        <v>146</v>
      </c>
      <c r="C89" s="4" t="s">
        <v>188</v>
      </c>
      <c r="D89" s="5">
        <v>1</v>
      </c>
      <c r="E89" s="5">
        <v>1</v>
      </c>
      <c r="F89" s="6">
        <v>9.0277777777777776E-2</v>
      </c>
      <c r="G89" s="7">
        <f t="shared" si="7"/>
        <v>9.0277777777777776E-2</v>
      </c>
      <c r="H89" s="4">
        <v>20.3</v>
      </c>
      <c r="I89" s="7">
        <f t="shared" si="8"/>
        <v>9.0277777777777776E-2</v>
      </c>
      <c r="J89" s="8">
        <f t="shared" si="9"/>
        <v>20.3</v>
      </c>
      <c r="K89" s="86">
        <f>IF(Tableau1[[#This Row],[Id Impression]]&lt;&gt;0,WORKDAY(stats!$L$2,Tableau1[[#This Row],[Id Impression]],Férier)-1,0)</f>
        <v>43061</v>
      </c>
      <c r="L89" s="9">
        <v>52</v>
      </c>
      <c r="M89" s="66"/>
      <c r="N89" s="66"/>
      <c r="O89" s="66"/>
      <c r="P89" s="66"/>
      <c r="Q89" s="66"/>
    </row>
    <row r="90" spans="1:17" ht="12.9" customHeight="1" x14ac:dyDescent="0.55000000000000004">
      <c r="A90" s="10" t="s">
        <v>289</v>
      </c>
      <c r="B90" s="10" t="s">
        <v>146</v>
      </c>
      <c r="C90" s="4" t="s">
        <v>147</v>
      </c>
      <c r="D90" s="5">
        <v>1</v>
      </c>
      <c r="E90" s="5">
        <v>1</v>
      </c>
      <c r="F90" s="6">
        <v>0.16666666666666666</v>
      </c>
      <c r="G90" s="7">
        <f t="shared" si="7"/>
        <v>0.16666666666666666</v>
      </c>
      <c r="H90" s="4">
        <v>37</v>
      </c>
      <c r="I90" s="7">
        <f t="shared" si="8"/>
        <v>0.16666666666666666</v>
      </c>
      <c r="J90" s="8">
        <f t="shared" si="9"/>
        <v>37</v>
      </c>
      <c r="K90" s="86">
        <f>IF(Tableau1[[#This Row],[Id Impression]]&lt;&gt;0,WORKDAY(stats!$L$2,Tableau1[[#This Row],[Id Impression]],Férier)-1,0)</f>
        <v>43062</v>
      </c>
      <c r="L90" s="9">
        <v>53</v>
      </c>
      <c r="M90" s="66"/>
      <c r="N90" s="66"/>
      <c r="O90" s="66"/>
      <c r="P90" s="66"/>
      <c r="Q90" s="66"/>
    </row>
    <row r="91" spans="1:17" ht="12.9" customHeight="1" x14ac:dyDescent="0.55000000000000004">
      <c r="A91" s="10" t="s">
        <v>289</v>
      </c>
      <c r="B91" s="10" t="s">
        <v>146</v>
      </c>
      <c r="C91" s="4" t="s">
        <v>148</v>
      </c>
      <c r="D91" s="5">
        <v>1</v>
      </c>
      <c r="E91" s="5">
        <v>1</v>
      </c>
      <c r="F91" s="6">
        <v>0.17083333333333331</v>
      </c>
      <c r="G91" s="7">
        <f t="shared" si="7"/>
        <v>0.17083333333333331</v>
      </c>
      <c r="H91" s="4">
        <v>35.520000000000003</v>
      </c>
      <c r="I91" s="7">
        <f t="shared" si="8"/>
        <v>0.17083333333333331</v>
      </c>
      <c r="J91" s="8">
        <f t="shared" si="9"/>
        <v>35.520000000000003</v>
      </c>
      <c r="K91" s="86">
        <f>IF(Tableau1[[#This Row],[Id Impression]]&lt;&gt;0,WORKDAY(stats!$L$2,Tableau1[[#This Row],[Id Impression]],Férier)-1,0)</f>
        <v>43065</v>
      </c>
      <c r="L91" s="9">
        <v>54</v>
      </c>
      <c r="M91" s="66"/>
      <c r="N91" s="66"/>
      <c r="O91" s="66"/>
      <c r="P91" s="66"/>
      <c r="Q91" s="66"/>
    </row>
    <row r="92" spans="1:17" ht="12.9" customHeight="1" x14ac:dyDescent="0.55000000000000004">
      <c r="A92" s="10" t="s">
        <v>289</v>
      </c>
      <c r="B92" s="10" t="s">
        <v>146</v>
      </c>
      <c r="C92" s="4" t="s">
        <v>153</v>
      </c>
      <c r="D92" s="5">
        <v>1</v>
      </c>
      <c r="E92" s="5">
        <v>1</v>
      </c>
      <c r="F92" s="6">
        <v>0.22013888888888888</v>
      </c>
      <c r="G92" s="7">
        <f t="shared" si="7"/>
        <v>0.22013888888888888</v>
      </c>
      <c r="H92" s="4">
        <v>51.56</v>
      </c>
      <c r="I92" s="7">
        <f t="shared" si="8"/>
        <v>0.22013888888888888</v>
      </c>
      <c r="J92" s="8">
        <f t="shared" si="9"/>
        <v>51.56</v>
      </c>
      <c r="K92" s="86">
        <f>IF(Tableau1[[#This Row],[Id Impression]]&lt;&gt;0,WORKDAY(stats!$L$2,Tableau1[[#This Row],[Id Impression]],Férier)-1,0)</f>
        <v>43066</v>
      </c>
      <c r="L92" s="9">
        <v>55</v>
      </c>
      <c r="M92" s="66"/>
      <c r="N92" s="66"/>
      <c r="O92" s="66"/>
      <c r="P92" s="66"/>
      <c r="Q92" s="66"/>
    </row>
    <row r="93" spans="1:17" ht="12.9" customHeight="1" x14ac:dyDescent="0.55000000000000004">
      <c r="A93" s="10" t="s">
        <v>289</v>
      </c>
      <c r="B93" s="10" t="s">
        <v>146</v>
      </c>
      <c r="C93" s="4" t="s">
        <v>154</v>
      </c>
      <c r="D93" s="5">
        <v>1</v>
      </c>
      <c r="E93" s="5">
        <v>1</v>
      </c>
      <c r="F93" s="6">
        <v>0.22013888888888888</v>
      </c>
      <c r="G93" s="7">
        <f t="shared" si="7"/>
        <v>0.22013888888888888</v>
      </c>
      <c r="H93" s="4">
        <v>51.63</v>
      </c>
      <c r="I93" s="7">
        <f t="shared" si="8"/>
        <v>0.22013888888888888</v>
      </c>
      <c r="J93" s="8">
        <f t="shared" si="9"/>
        <v>51.63</v>
      </c>
      <c r="K93" s="86">
        <f>IF(Tableau1[[#This Row],[Id Impression]]&lt;&gt;0,WORKDAY(stats!$L$2,Tableau1[[#This Row],[Id Impression]],Férier)-1,0)</f>
        <v>43067</v>
      </c>
      <c r="L93" s="9">
        <v>56</v>
      </c>
      <c r="M93" s="66"/>
      <c r="N93" s="66"/>
      <c r="O93" s="66"/>
      <c r="P93" s="66"/>
      <c r="Q93" s="66"/>
    </row>
    <row r="94" spans="1:17" ht="12.9" customHeight="1" x14ac:dyDescent="0.55000000000000004">
      <c r="A94" s="10" t="s">
        <v>289</v>
      </c>
      <c r="B94" s="10" t="s">
        <v>146</v>
      </c>
      <c r="C94" s="4" t="s">
        <v>155</v>
      </c>
      <c r="D94" s="5">
        <v>1</v>
      </c>
      <c r="E94" s="5">
        <v>1</v>
      </c>
      <c r="F94" s="6">
        <v>0.24861111111111112</v>
      </c>
      <c r="G94" s="7">
        <f t="shared" si="7"/>
        <v>0.24861111111111112</v>
      </c>
      <c r="H94" s="4">
        <v>71.41</v>
      </c>
      <c r="I94" s="7">
        <f t="shared" si="8"/>
        <v>0.24861111111111112</v>
      </c>
      <c r="J94" s="8">
        <f t="shared" si="9"/>
        <v>71.41</v>
      </c>
      <c r="K94" s="86">
        <f>IF(Tableau1[[#This Row],[Id Impression]]&lt;&gt;0,WORKDAY(stats!$L$2,Tableau1[[#This Row],[Id Impression]],Férier)-1,0)</f>
        <v>43068</v>
      </c>
      <c r="L94" s="9">
        <v>57</v>
      </c>
      <c r="M94" s="66"/>
      <c r="N94" s="66"/>
      <c r="O94" s="66"/>
      <c r="P94" s="66"/>
      <c r="Q94" s="66"/>
    </row>
    <row r="95" spans="1:17" ht="12.9" customHeight="1" x14ac:dyDescent="0.55000000000000004">
      <c r="A95" s="10" t="s">
        <v>289</v>
      </c>
      <c r="B95" s="10" t="s">
        <v>146</v>
      </c>
      <c r="C95" s="4" t="s">
        <v>156</v>
      </c>
      <c r="D95" s="5">
        <v>1</v>
      </c>
      <c r="E95" s="5">
        <v>1</v>
      </c>
      <c r="F95" s="6">
        <v>0.31736111111111115</v>
      </c>
      <c r="G95" s="7">
        <f t="shared" si="7"/>
        <v>0.31736111111111115</v>
      </c>
      <c r="H95" s="4">
        <v>58.23</v>
      </c>
      <c r="I95" s="7">
        <f t="shared" si="8"/>
        <v>0.31736111111111115</v>
      </c>
      <c r="J95" s="8">
        <f t="shared" si="9"/>
        <v>58.23</v>
      </c>
      <c r="K95" s="86">
        <f>IF(Tableau1[[#This Row],[Id Impression]]&lt;&gt;0,WORKDAY(stats!$L$2,Tableau1[[#This Row],[Id Impression]],Férier)-1,0)</f>
        <v>43069</v>
      </c>
      <c r="L95" s="9">
        <v>58</v>
      </c>
      <c r="M95" s="66"/>
      <c r="N95" s="66"/>
      <c r="O95" s="66"/>
      <c r="P95" s="66"/>
      <c r="Q95" s="66"/>
    </row>
    <row r="96" spans="1:17" ht="12.9" customHeight="1" x14ac:dyDescent="0.55000000000000004">
      <c r="A96" s="10" t="s">
        <v>289</v>
      </c>
      <c r="B96" s="10" t="s">
        <v>146</v>
      </c>
      <c r="C96" s="4" t="s">
        <v>157</v>
      </c>
      <c r="D96" s="5">
        <v>1</v>
      </c>
      <c r="E96" s="5">
        <v>1</v>
      </c>
      <c r="F96" s="6">
        <v>0.3743055555555555</v>
      </c>
      <c r="G96" s="7">
        <f t="shared" si="7"/>
        <v>0.3743055555555555</v>
      </c>
      <c r="H96" s="4">
        <v>83.04</v>
      </c>
      <c r="I96" s="7">
        <f t="shared" si="8"/>
        <v>0.3743055555555555</v>
      </c>
      <c r="J96" s="8">
        <f t="shared" si="9"/>
        <v>83.04</v>
      </c>
      <c r="K96" s="86">
        <f>IF(Tableau1[[#This Row],[Id Impression]]&lt;&gt;0,WORKDAY(stats!$L$2,Tableau1[[#This Row],[Id Impression]],Férier)-1,0)</f>
        <v>43072</v>
      </c>
      <c r="L96" s="9">
        <v>59</v>
      </c>
      <c r="M96" s="66"/>
      <c r="N96" s="66"/>
      <c r="O96" s="66"/>
      <c r="P96" s="66"/>
      <c r="Q96" s="66"/>
    </row>
    <row r="97" spans="1:17" ht="12.9" customHeight="1" x14ac:dyDescent="0.55000000000000004">
      <c r="A97" s="10" t="s">
        <v>289</v>
      </c>
      <c r="B97" s="10" t="s">
        <v>146</v>
      </c>
      <c r="C97" s="4" t="s">
        <v>166</v>
      </c>
      <c r="D97" s="5">
        <v>1</v>
      </c>
      <c r="E97" s="5">
        <v>1</v>
      </c>
      <c r="F97" s="6">
        <v>2.2222222222222223E-2</v>
      </c>
      <c r="G97" s="7">
        <f t="shared" si="7"/>
        <v>2.2222222222222223E-2</v>
      </c>
      <c r="H97" s="4">
        <v>4.8499999999999996</v>
      </c>
      <c r="I97" s="7">
        <f t="shared" si="8"/>
        <v>2.2222222222222223E-2</v>
      </c>
      <c r="J97" s="8">
        <f t="shared" si="9"/>
        <v>4.8499999999999996</v>
      </c>
      <c r="K97" s="86">
        <f>IF(Tableau1[[#This Row],[Id Impression]]&lt;&gt;0,WORKDAY(stats!$L$2,Tableau1[[#This Row],[Id Impression]],Férier)-1,0)</f>
        <v>43073</v>
      </c>
      <c r="L97" s="9">
        <v>60</v>
      </c>
      <c r="M97" s="66"/>
      <c r="N97" s="66"/>
      <c r="O97" s="66"/>
      <c r="P97" s="66"/>
      <c r="Q97" s="66"/>
    </row>
    <row r="98" spans="1:17" ht="12.9" customHeight="1" x14ac:dyDescent="0.55000000000000004">
      <c r="A98" s="10" t="s">
        <v>289</v>
      </c>
      <c r="B98" s="10" t="s">
        <v>146</v>
      </c>
      <c r="C98" s="4" t="s">
        <v>171</v>
      </c>
      <c r="D98" s="5">
        <v>1</v>
      </c>
      <c r="E98" s="5">
        <v>1</v>
      </c>
      <c r="F98" s="6">
        <v>0.14444444444444446</v>
      </c>
      <c r="G98" s="7">
        <f t="shared" si="7"/>
        <v>0.14444444444444446</v>
      </c>
      <c r="H98" s="4">
        <v>25.89</v>
      </c>
      <c r="I98" s="7">
        <f t="shared" si="8"/>
        <v>0.14444444444444446</v>
      </c>
      <c r="J98" s="8">
        <f t="shared" si="9"/>
        <v>25.89</v>
      </c>
      <c r="K98" s="86">
        <f>IF(Tableau1[[#This Row],[Id Impression]]&lt;&gt;0,WORKDAY(stats!$L$2,Tableau1[[#This Row],[Id Impression]],Férier)-1,0)</f>
        <v>43073</v>
      </c>
      <c r="L98" s="9">
        <v>60</v>
      </c>
      <c r="M98" s="66"/>
      <c r="N98" s="66"/>
      <c r="O98" s="66"/>
      <c r="P98" s="66"/>
      <c r="Q98" s="66"/>
    </row>
    <row r="99" spans="1:17" ht="12.9" customHeight="1" x14ac:dyDescent="0.55000000000000004">
      <c r="A99" s="10" t="s">
        <v>289</v>
      </c>
      <c r="B99" s="10" t="s">
        <v>146</v>
      </c>
      <c r="C99" s="4" t="s">
        <v>172</v>
      </c>
      <c r="D99" s="5">
        <v>1</v>
      </c>
      <c r="E99" s="5">
        <v>1</v>
      </c>
      <c r="F99" s="6">
        <v>3.6111111111111115E-2</v>
      </c>
      <c r="G99" s="7">
        <f t="shared" si="7"/>
        <v>3.6111111111111115E-2</v>
      </c>
      <c r="H99" s="4">
        <v>7.49</v>
      </c>
      <c r="I99" s="7">
        <f t="shared" si="8"/>
        <v>3.6111111111111115E-2</v>
      </c>
      <c r="J99" s="8">
        <f t="shared" si="9"/>
        <v>7.49</v>
      </c>
      <c r="K99" s="86">
        <f>IF(Tableau1[[#This Row],[Id Impression]]&lt;&gt;0,WORKDAY(stats!$L$2,Tableau1[[#This Row],[Id Impression]],Férier)-1,0)</f>
        <v>43074</v>
      </c>
      <c r="L99" s="9">
        <v>61</v>
      </c>
      <c r="M99" s="66"/>
      <c r="N99" s="66"/>
      <c r="O99" s="66"/>
      <c r="P99" s="66"/>
      <c r="Q99" s="66"/>
    </row>
    <row r="100" spans="1:17" ht="12.9" customHeight="1" x14ac:dyDescent="0.55000000000000004">
      <c r="A100" s="10" t="s">
        <v>289</v>
      </c>
      <c r="B100" s="10" t="s">
        <v>146</v>
      </c>
      <c r="C100" s="10" t="s">
        <v>175</v>
      </c>
      <c r="D100" s="5">
        <v>1</v>
      </c>
      <c r="E100" s="5">
        <v>1</v>
      </c>
      <c r="F100" s="6">
        <v>0.10555555555555556</v>
      </c>
      <c r="G100" s="7">
        <f t="shared" si="7"/>
        <v>0.10555555555555556</v>
      </c>
      <c r="H100" s="4">
        <v>33.17</v>
      </c>
      <c r="I100" s="7">
        <f t="shared" si="8"/>
        <v>0.10555555555555556</v>
      </c>
      <c r="J100" s="8">
        <f t="shared" si="9"/>
        <v>33.17</v>
      </c>
      <c r="K100" s="86">
        <f>IF(Tableau1[[#This Row],[Id Impression]]&lt;&gt;0,WORKDAY(stats!$L$2,Tableau1[[#This Row],[Id Impression]],Férier)-1,0)</f>
        <v>43074</v>
      </c>
      <c r="L100" s="9">
        <v>61</v>
      </c>
      <c r="M100" s="66"/>
      <c r="N100" s="66"/>
      <c r="O100" s="66"/>
      <c r="P100" s="66"/>
      <c r="Q100" s="66"/>
    </row>
    <row r="101" spans="1:17" ht="12.9" customHeight="1" x14ac:dyDescent="0.55000000000000004">
      <c r="A101" s="10" t="s">
        <v>289</v>
      </c>
      <c r="B101" s="10" t="s">
        <v>146</v>
      </c>
      <c r="C101" s="4" t="s">
        <v>181</v>
      </c>
      <c r="D101" s="5">
        <v>1</v>
      </c>
      <c r="E101" s="5">
        <v>1</v>
      </c>
      <c r="F101" s="6">
        <v>9.6527777777777768E-2</v>
      </c>
      <c r="G101" s="7">
        <f t="shared" si="7"/>
        <v>9.6527777777777768E-2</v>
      </c>
      <c r="H101" s="4">
        <v>22.01</v>
      </c>
      <c r="I101" s="7">
        <f t="shared" si="8"/>
        <v>9.6527777777777768E-2</v>
      </c>
      <c r="J101" s="8">
        <f t="shared" si="9"/>
        <v>22.01</v>
      </c>
      <c r="K101" s="86">
        <f>IF(Tableau1[[#This Row],[Id Impression]]&lt;&gt;0,WORKDAY(stats!$L$2,Tableau1[[#This Row],[Id Impression]],Férier)-1,0)</f>
        <v>43075</v>
      </c>
      <c r="L101" s="9">
        <v>62</v>
      </c>
      <c r="M101" s="66"/>
      <c r="N101" s="66"/>
      <c r="O101" s="66"/>
      <c r="P101" s="66"/>
      <c r="Q101" s="66"/>
    </row>
    <row r="102" spans="1:17" ht="12.9" customHeight="1" x14ac:dyDescent="0.55000000000000004">
      <c r="A102" s="10" t="s">
        <v>145</v>
      </c>
      <c r="B102" s="10" t="s">
        <v>145</v>
      </c>
      <c r="C102" s="4" t="s">
        <v>158</v>
      </c>
      <c r="D102" s="5">
        <v>2</v>
      </c>
      <c r="E102" s="5">
        <v>2</v>
      </c>
      <c r="F102" s="6">
        <v>4.8611111111111112E-3</v>
      </c>
      <c r="G102" s="7">
        <f t="shared" si="7"/>
        <v>4.8611111111111112E-3</v>
      </c>
      <c r="H102" s="4">
        <v>1.23</v>
      </c>
      <c r="I102" s="7">
        <f t="shared" si="8"/>
        <v>9.7222222222222224E-3</v>
      </c>
      <c r="J102" s="8">
        <f t="shared" si="9"/>
        <v>2.46</v>
      </c>
      <c r="K102" s="86">
        <f>IF(Tableau1[[#This Row],[Id Impression]]&lt;&gt;0,WORKDAY(stats!$L$2,Tableau1[[#This Row],[Id Impression]],Férier)-1,0)</f>
        <v>43075</v>
      </c>
      <c r="L102" s="9">
        <v>62</v>
      </c>
      <c r="M102" s="66"/>
      <c r="N102" s="66"/>
      <c r="O102" s="66"/>
      <c r="P102" s="66"/>
      <c r="Q102" s="66"/>
    </row>
    <row r="103" spans="1:17" ht="12.9" customHeight="1" x14ac:dyDescent="0.55000000000000004">
      <c r="A103" s="10" t="s">
        <v>145</v>
      </c>
      <c r="B103" s="10" t="s">
        <v>145</v>
      </c>
      <c r="C103" s="4" t="s">
        <v>160</v>
      </c>
      <c r="D103" s="5">
        <v>1</v>
      </c>
      <c r="E103" s="5">
        <v>1</v>
      </c>
      <c r="F103" s="6">
        <v>1.1111111111111112E-2</v>
      </c>
      <c r="G103" s="7">
        <f t="shared" si="7"/>
        <v>1.1111111111111112E-2</v>
      </c>
      <c r="H103" s="4">
        <v>2.95</v>
      </c>
      <c r="I103" s="7">
        <f t="shared" si="8"/>
        <v>1.1111111111111112E-2</v>
      </c>
      <c r="J103" s="8">
        <f t="shared" si="9"/>
        <v>2.95</v>
      </c>
      <c r="K103" s="86">
        <f>IF(Tableau1[[#This Row],[Id Impression]]&lt;&gt;0,WORKDAY(stats!$L$2,Tableau1[[#This Row],[Id Impression]],Férier)-1,0)</f>
        <v>43075</v>
      </c>
      <c r="L103" s="9">
        <v>62</v>
      </c>
      <c r="M103" s="66"/>
      <c r="N103" s="66"/>
      <c r="O103" s="66"/>
      <c r="P103" s="66"/>
      <c r="Q103" s="66"/>
    </row>
    <row r="104" spans="1:17" ht="12.9" customHeight="1" x14ac:dyDescent="0.55000000000000004">
      <c r="A104" s="10" t="s">
        <v>145</v>
      </c>
      <c r="B104" s="10" t="s">
        <v>145</v>
      </c>
      <c r="C104" s="4" t="s">
        <v>162</v>
      </c>
      <c r="D104" s="5">
        <v>1</v>
      </c>
      <c r="E104" s="5">
        <v>1</v>
      </c>
      <c r="F104" s="6">
        <v>1.7361111111111112E-2</v>
      </c>
      <c r="G104" s="7">
        <f t="shared" ref="G104:G135" si="10">F104</f>
        <v>1.7361111111111112E-2</v>
      </c>
      <c r="H104" s="4">
        <v>3.11</v>
      </c>
      <c r="I104" s="7">
        <f t="shared" si="8"/>
        <v>1.7361111111111112E-2</v>
      </c>
      <c r="J104" s="8">
        <f t="shared" si="9"/>
        <v>3.11</v>
      </c>
      <c r="K104" s="86">
        <f>IF(Tableau1[[#This Row],[Id Impression]]&lt;&gt;0,WORKDAY(stats!$L$2,Tableau1[[#This Row],[Id Impression]],Férier)-1,0)</f>
        <v>43075</v>
      </c>
      <c r="L104" s="9">
        <v>62</v>
      </c>
      <c r="M104" s="66"/>
      <c r="N104" s="66"/>
      <c r="O104" s="66"/>
      <c r="P104" s="66"/>
      <c r="Q104" s="66"/>
    </row>
    <row r="105" spans="1:17" ht="12.9" customHeight="1" x14ac:dyDescent="0.55000000000000004">
      <c r="A105" s="10" t="s">
        <v>289</v>
      </c>
      <c r="B105" s="10" t="s">
        <v>146</v>
      </c>
      <c r="C105" s="19" t="s">
        <v>179</v>
      </c>
      <c r="D105" s="5">
        <v>1</v>
      </c>
      <c r="E105" s="5">
        <v>1</v>
      </c>
      <c r="F105" s="20">
        <v>9.7222222222222224E-2</v>
      </c>
      <c r="G105" s="7">
        <f t="shared" si="10"/>
        <v>9.7222222222222224E-2</v>
      </c>
      <c r="H105" s="19">
        <v>22.19</v>
      </c>
      <c r="I105" s="7">
        <f t="shared" si="8"/>
        <v>9.7222222222222224E-2</v>
      </c>
      <c r="J105" s="8">
        <f t="shared" si="9"/>
        <v>22.19</v>
      </c>
      <c r="K105" s="86">
        <f>IF(Tableau1[[#This Row],[Id Impression]]&lt;&gt;0,WORKDAY(stats!$L$2,Tableau1[[#This Row],[Id Impression]],Férier)-1,0)</f>
        <v>43076</v>
      </c>
      <c r="L105" s="9">
        <v>63</v>
      </c>
      <c r="M105" s="66"/>
      <c r="N105" s="66"/>
      <c r="O105" s="66"/>
      <c r="P105" s="66"/>
      <c r="Q105" s="66"/>
    </row>
    <row r="106" spans="1:17" ht="12.9" customHeight="1" x14ac:dyDescent="0.55000000000000004">
      <c r="A106" s="10" t="s">
        <v>145</v>
      </c>
      <c r="B106" s="10" t="s">
        <v>145</v>
      </c>
      <c r="C106" s="4" t="s">
        <v>164</v>
      </c>
      <c r="D106" s="5">
        <v>1</v>
      </c>
      <c r="E106" s="5">
        <v>1</v>
      </c>
      <c r="F106" s="6">
        <v>1.7361111111111112E-2</v>
      </c>
      <c r="G106" s="7">
        <f t="shared" si="10"/>
        <v>1.7361111111111112E-2</v>
      </c>
      <c r="H106" s="4">
        <v>3.08</v>
      </c>
      <c r="I106" s="7">
        <f t="shared" si="8"/>
        <v>1.7361111111111112E-2</v>
      </c>
      <c r="J106" s="8">
        <f t="shared" si="9"/>
        <v>3.08</v>
      </c>
      <c r="K106" s="86">
        <f>IF(Tableau1[[#This Row],[Id Impression]]&lt;&gt;0,WORKDAY(stats!$L$2,Tableau1[[#This Row],[Id Impression]],Férier)-1,0)</f>
        <v>43076</v>
      </c>
      <c r="L106" s="9">
        <v>63</v>
      </c>
      <c r="M106" s="66"/>
      <c r="N106" s="66"/>
      <c r="O106" s="66"/>
      <c r="P106" s="66"/>
      <c r="Q106" s="66"/>
    </row>
    <row r="107" spans="1:17" ht="12.9" customHeight="1" x14ac:dyDescent="0.55000000000000004">
      <c r="A107" s="10" t="s">
        <v>145</v>
      </c>
      <c r="B107" s="10" t="s">
        <v>145</v>
      </c>
      <c r="C107" s="4" t="s">
        <v>168</v>
      </c>
      <c r="D107" s="5">
        <v>1</v>
      </c>
      <c r="E107" s="5">
        <v>1</v>
      </c>
      <c r="F107" s="6">
        <v>2.6388888888888889E-2</v>
      </c>
      <c r="G107" s="7">
        <f t="shared" si="10"/>
        <v>2.6388888888888889E-2</v>
      </c>
      <c r="H107" s="4">
        <v>5.05</v>
      </c>
      <c r="I107" s="7">
        <f t="shared" si="8"/>
        <v>2.6388888888888889E-2</v>
      </c>
      <c r="J107" s="8">
        <f t="shared" si="9"/>
        <v>5.05</v>
      </c>
      <c r="K107" s="86">
        <f>IF(Tableau1[[#This Row],[Id Impression]]&lt;&gt;0,WORKDAY(stats!$L$2,Tableau1[[#This Row],[Id Impression]],Férier)-1,0)</f>
        <v>43076</v>
      </c>
      <c r="L107" s="9">
        <v>63</v>
      </c>
      <c r="M107" s="66"/>
      <c r="N107" s="66"/>
      <c r="O107" s="66"/>
      <c r="P107" s="66"/>
      <c r="Q107" s="66"/>
    </row>
    <row r="108" spans="1:17" ht="12.9" customHeight="1" x14ac:dyDescent="0.55000000000000004">
      <c r="A108" s="10" t="s">
        <v>289</v>
      </c>
      <c r="B108" s="10" t="s">
        <v>146</v>
      </c>
      <c r="C108" s="10" t="s">
        <v>177</v>
      </c>
      <c r="D108" s="5">
        <v>1</v>
      </c>
      <c r="E108" s="5">
        <v>1</v>
      </c>
      <c r="F108" s="11">
        <v>0.10555555555555556</v>
      </c>
      <c r="G108" s="7">
        <f t="shared" si="10"/>
        <v>0.10555555555555556</v>
      </c>
      <c r="H108" s="10">
        <v>33.14</v>
      </c>
      <c r="I108" s="7">
        <f t="shared" si="8"/>
        <v>0.10555555555555556</v>
      </c>
      <c r="J108" s="8">
        <f t="shared" si="9"/>
        <v>33.14</v>
      </c>
      <c r="K108" s="86">
        <f>IF(Tableau1[[#This Row],[Id Impression]]&lt;&gt;0,WORKDAY(stats!$L$2,Tableau1[[#This Row],[Id Impression]],Férier)-1,0)</f>
        <v>43079</v>
      </c>
      <c r="L108" s="9">
        <v>64</v>
      </c>
      <c r="M108" s="66"/>
      <c r="N108" s="66"/>
      <c r="O108" s="66"/>
      <c r="P108" s="66"/>
      <c r="Q108" s="66"/>
    </row>
    <row r="109" spans="1:17" ht="12.9" customHeight="1" x14ac:dyDescent="0.55000000000000004">
      <c r="A109" s="10" t="s">
        <v>145</v>
      </c>
      <c r="B109" s="10" t="s">
        <v>145</v>
      </c>
      <c r="C109" s="4" t="s">
        <v>170</v>
      </c>
      <c r="D109" s="5">
        <v>1</v>
      </c>
      <c r="E109" s="5">
        <v>1</v>
      </c>
      <c r="F109" s="6">
        <v>2.6388888888888889E-2</v>
      </c>
      <c r="G109" s="7">
        <f t="shared" si="10"/>
        <v>2.6388888888888889E-2</v>
      </c>
      <c r="H109" s="4">
        <v>5.19</v>
      </c>
      <c r="I109" s="7">
        <f t="shared" si="8"/>
        <v>2.6388888888888889E-2</v>
      </c>
      <c r="J109" s="8">
        <f t="shared" si="9"/>
        <v>5.19</v>
      </c>
      <c r="K109" s="86">
        <f>IF(Tableau1[[#This Row],[Id Impression]]&lt;&gt;0,WORKDAY(stats!$L$2,Tableau1[[#This Row],[Id Impression]],Férier)-1,0)</f>
        <v>43079</v>
      </c>
      <c r="L109" s="9">
        <v>64</v>
      </c>
      <c r="M109" s="66"/>
      <c r="N109" s="66"/>
      <c r="O109" s="66"/>
      <c r="P109" s="66"/>
      <c r="Q109" s="66"/>
    </row>
    <row r="110" spans="1:17" ht="12.9" customHeight="1" x14ac:dyDescent="0.55000000000000004">
      <c r="A110" s="10" t="s">
        <v>145</v>
      </c>
      <c r="B110" s="10" t="s">
        <v>145</v>
      </c>
      <c r="C110" s="4" t="s">
        <v>174</v>
      </c>
      <c r="D110" s="5">
        <v>1</v>
      </c>
      <c r="E110" s="5">
        <v>1</v>
      </c>
      <c r="F110" s="6">
        <v>4.027777777777778E-2</v>
      </c>
      <c r="G110" s="7">
        <f t="shared" si="10"/>
        <v>4.027777777777778E-2</v>
      </c>
      <c r="H110" s="4">
        <v>9.41</v>
      </c>
      <c r="I110" s="7">
        <f t="shared" si="8"/>
        <v>4.027777777777778E-2</v>
      </c>
      <c r="J110" s="8">
        <f t="shared" si="9"/>
        <v>9.41</v>
      </c>
      <c r="K110" s="86">
        <f>IF(Tableau1[[#This Row],[Id Impression]]&lt;&gt;0,WORKDAY(stats!$L$2,Tableau1[[#This Row],[Id Impression]],Férier)-1,0)</f>
        <v>43079</v>
      </c>
      <c r="L110" s="9">
        <v>64</v>
      </c>
      <c r="M110" s="66"/>
      <c r="N110" s="66"/>
      <c r="O110" s="66"/>
      <c r="P110" s="66"/>
      <c r="Q110" s="66"/>
    </row>
    <row r="111" spans="1:17" ht="12.9" customHeight="1" x14ac:dyDescent="0.55000000000000004">
      <c r="A111" s="10" t="s">
        <v>145</v>
      </c>
      <c r="B111" s="10" t="s">
        <v>145</v>
      </c>
      <c r="C111" s="4" t="s">
        <v>161</v>
      </c>
      <c r="D111" s="5">
        <v>1</v>
      </c>
      <c r="E111" s="5">
        <v>1</v>
      </c>
      <c r="F111" s="6">
        <v>0.15972222222222224</v>
      </c>
      <c r="G111" s="7">
        <f t="shared" si="10"/>
        <v>0.15972222222222224</v>
      </c>
      <c r="H111" s="4">
        <v>28.67</v>
      </c>
      <c r="I111" s="7">
        <f t="shared" si="8"/>
        <v>0.15972222222222224</v>
      </c>
      <c r="J111" s="8">
        <f t="shared" si="9"/>
        <v>28.67</v>
      </c>
      <c r="K111" s="86">
        <f>IF(Tableau1[[#This Row],[Id Impression]]&lt;&gt;0,WORKDAY(stats!$L$2,Tableau1[[#This Row],[Id Impression]],Férier)-1,0)</f>
        <v>43080</v>
      </c>
      <c r="L111" s="9">
        <v>65</v>
      </c>
      <c r="M111" s="66"/>
      <c r="N111" s="66"/>
      <c r="O111" s="66"/>
      <c r="P111" s="66"/>
      <c r="Q111" s="66"/>
    </row>
    <row r="112" spans="1:17" ht="12.9" customHeight="1" x14ac:dyDescent="0.55000000000000004">
      <c r="A112" s="10" t="s">
        <v>145</v>
      </c>
      <c r="B112" s="10" t="s">
        <v>145</v>
      </c>
      <c r="C112" s="4" t="s">
        <v>159</v>
      </c>
      <c r="D112" s="5">
        <v>1</v>
      </c>
      <c r="E112" s="5">
        <v>1</v>
      </c>
      <c r="F112" s="6">
        <v>0.16041666666666668</v>
      </c>
      <c r="G112" s="7">
        <f t="shared" si="10"/>
        <v>0.16041666666666668</v>
      </c>
      <c r="H112" s="4">
        <v>28.69</v>
      </c>
      <c r="I112" s="7">
        <f t="shared" si="8"/>
        <v>0.16041666666666668</v>
      </c>
      <c r="J112" s="8">
        <f t="shared" si="9"/>
        <v>28.69</v>
      </c>
      <c r="K112" s="86">
        <f>IF(Tableau1[[#This Row],[Id Impression]]&lt;&gt;0,WORKDAY(stats!$L$2,Tableau1[[#This Row],[Id Impression]],Férier)-1,0)</f>
        <v>43081</v>
      </c>
      <c r="L112" s="9">
        <v>66</v>
      </c>
      <c r="M112" s="66"/>
      <c r="N112" s="66"/>
      <c r="O112" s="66"/>
      <c r="P112" s="66"/>
      <c r="Q112" s="66"/>
    </row>
    <row r="113" spans="1:17" ht="12.9" customHeight="1" x14ac:dyDescent="0.55000000000000004">
      <c r="A113" s="10" t="s">
        <v>145</v>
      </c>
      <c r="B113" s="10" t="s">
        <v>145</v>
      </c>
      <c r="C113" s="10" t="s">
        <v>149</v>
      </c>
      <c r="D113" s="5">
        <v>1</v>
      </c>
      <c r="E113" s="5">
        <v>1</v>
      </c>
      <c r="F113" s="6">
        <v>0.18611111111111112</v>
      </c>
      <c r="G113" s="7">
        <f t="shared" si="10"/>
        <v>0.18611111111111112</v>
      </c>
      <c r="H113" s="4">
        <v>34.880000000000003</v>
      </c>
      <c r="I113" s="7">
        <f t="shared" si="8"/>
        <v>0.18611111111111112</v>
      </c>
      <c r="J113" s="8">
        <f t="shared" si="9"/>
        <v>34.880000000000003</v>
      </c>
      <c r="K113" s="86">
        <f>IF(Tableau1[[#This Row],[Id Impression]]&lt;&gt;0,WORKDAY(stats!$L$2,Tableau1[[#This Row],[Id Impression]],Férier)-1,0)</f>
        <v>43082</v>
      </c>
      <c r="L113" s="9">
        <v>67</v>
      </c>
      <c r="M113" s="66"/>
      <c r="N113" s="66"/>
      <c r="O113" s="66"/>
      <c r="P113" s="66"/>
      <c r="Q113" s="66"/>
    </row>
    <row r="114" spans="1:17" ht="12.9" customHeight="1" x14ac:dyDescent="0.55000000000000004">
      <c r="A114" s="10" t="s">
        <v>145</v>
      </c>
      <c r="B114" s="10" t="s">
        <v>145</v>
      </c>
      <c r="C114" s="10" t="s">
        <v>150</v>
      </c>
      <c r="D114" s="5">
        <v>1</v>
      </c>
      <c r="E114" s="5">
        <v>1</v>
      </c>
      <c r="F114" s="6">
        <v>0.18680555555555556</v>
      </c>
      <c r="G114" s="7">
        <f t="shared" si="10"/>
        <v>0.18680555555555556</v>
      </c>
      <c r="H114" s="4">
        <v>35.04</v>
      </c>
      <c r="I114" s="7">
        <f t="shared" si="8"/>
        <v>0.18680555555555556</v>
      </c>
      <c r="J114" s="8">
        <f t="shared" si="9"/>
        <v>35.04</v>
      </c>
      <c r="K114" s="86">
        <f>IF(Tableau1[[#This Row],[Id Impression]]&lt;&gt;0,WORKDAY(stats!$L$2,Tableau1[[#This Row],[Id Impression]],Férier)-1,0)</f>
        <v>43083</v>
      </c>
      <c r="L114" s="9">
        <v>68</v>
      </c>
      <c r="M114" s="66"/>
      <c r="N114" s="66"/>
      <c r="O114" s="66"/>
      <c r="P114" s="66"/>
      <c r="Q114" s="66"/>
    </row>
    <row r="115" spans="1:17" ht="12.9" customHeight="1" x14ac:dyDescent="0.55000000000000004">
      <c r="A115" s="10" t="s">
        <v>145</v>
      </c>
      <c r="B115" s="10" t="s">
        <v>145</v>
      </c>
      <c r="C115" s="4" t="s">
        <v>151</v>
      </c>
      <c r="D115" s="5">
        <v>1</v>
      </c>
      <c r="E115" s="5">
        <v>1</v>
      </c>
      <c r="F115" s="6">
        <v>0.20277777777777781</v>
      </c>
      <c r="G115" s="7">
        <f t="shared" si="10"/>
        <v>0.20277777777777781</v>
      </c>
      <c r="H115" s="4">
        <v>42.85</v>
      </c>
      <c r="I115" s="7">
        <f t="shared" si="8"/>
        <v>0.20277777777777781</v>
      </c>
      <c r="J115" s="8">
        <f t="shared" si="9"/>
        <v>42.85</v>
      </c>
      <c r="K115" s="86">
        <f>IF(Tableau1[[#This Row],[Id Impression]]&lt;&gt;0,WORKDAY(stats!$L$2,Tableau1[[#This Row],[Id Impression]],Férier)-1,0)</f>
        <v>43086</v>
      </c>
      <c r="L115" s="9">
        <v>69</v>
      </c>
      <c r="M115" s="66"/>
      <c r="N115" s="66"/>
      <c r="O115" s="66"/>
      <c r="P115" s="66"/>
      <c r="Q115" s="66"/>
    </row>
    <row r="116" spans="1:17" ht="12.9" customHeight="1" x14ac:dyDescent="0.55000000000000004">
      <c r="A116" s="10" t="s">
        <v>145</v>
      </c>
      <c r="B116" s="10" t="s">
        <v>145</v>
      </c>
      <c r="C116" s="4" t="s">
        <v>152</v>
      </c>
      <c r="D116" s="5">
        <v>1</v>
      </c>
      <c r="E116" s="5">
        <v>1</v>
      </c>
      <c r="F116" s="6">
        <v>0.20347222222222219</v>
      </c>
      <c r="G116" s="7">
        <f t="shared" si="10"/>
        <v>0.20347222222222219</v>
      </c>
      <c r="H116" s="4">
        <v>42.64</v>
      </c>
      <c r="I116" s="7">
        <f t="shared" si="8"/>
        <v>0.20347222222222219</v>
      </c>
      <c r="J116" s="8">
        <f t="shared" si="9"/>
        <v>42.64</v>
      </c>
      <c r="K116" s="86">
        <f>IF(Tableau1[[#This Row],[Id Impression]]&lt;&gt;0,WORKDAY(stats!$L$2,Tableau1[[#This Row],[Id Impression]],Férier)-1,0)</f>
        <v>43087</v>
      </c>
      <c r="L116" s="9">
        <v>70</v>
      </c>
      <c r="M116" s="66"/>
      <c r="N116" s="66"/>
      <c r="O116" s="66"/>
      <c r="P116" s="66"/>
      <c r="Q116" s="66"/>
    </row>
    <row r="117" spans="1:17" ht="12.9" customHeight="1" x14ac:dyDescent="0.55000000000000004">
      <c r="A117" s="10" t="s">
        <v>145</v>
      </c>
      <c r="B117" s="10" t="s">
        <v>145</v>
      </c>
      <c r="C117" s="4" t="s">
        <v>176</v>
      </c>
      <c r="D117" s="5">
        <v>1</v>
      </c>
      <c r="E117" s="5">
        <v>1</v>
      </c>
      <c r="F117" s="6">
        <v>4.0972222222222222E-2</v>
      </c>
      <c r="G117" s="7">
        <f t="shared" si="10"/>
        <v>4.0972222222222222E-2</v>
      </c>
      <c r="H117" s="4">
        <v>9.49</v>
      </c>
      <c r="I117" s="7">
        <f t="shared" si="8"/>
        <v>4.0972222222222222E-2</v>
      </c>
      <c r="J117" s="8">
        <f t="shared" si="9"/>
        <v>9.49</v>
      </c>
      <c r="K117" s="86">
        <f>IF(Tableau1[[#This Row],[Id Impression]]&lt;&gt;0,WORKDAY(stats!$L$2,Tableau1[[#This Row],[Id Impression]],Férier)-1,0)</f>
        <v>43088</v>
      </c>
      <c r="L117" s="9">
        <v>71</v>
      </c>
      <c r="M117" s="66"/>
      <c r="N117" s="66"/>
      <c r="O117" s="66"/>
      <c r="P117" s="66"/>
      <c r="Q117" s="66"/>
    </row>
    <row r="118" spans="1:17" ht="12.9" customHeight="1" x14ac:dyDescent="0.55000000000000004">
      <c r="A118" s="10" t="s">
        <v>145</v>
      </c>
      <c r="B118" s="10" t="s">
        <v>145</v>
      </c>
      <c r="C118" s="3" t="s">
        <v>173</v>
      </c>
      <c r="D118" s="5">
        <v>1</v>
      </c>
      <c r="E118" s="5">
        <v>1</v>
      </c>
      <c r="F118" s="20">
        <v>0.12083333333333333</v>
      </c>
      <c r="G118" s="22">
        <f t="shared" si="10"/>
        <v>0.12083333333333333</v>
      </c>
      <c r="H118" s="19">
        <v>23.05</v>
      </c>
      <c r="I118" s="7">
        <f t="shared" si="8"/>
        <v>0.12083333333333333</v>
      </c>
      <c r="J118" s="8">
        <f t="shared" si="9"/>
        <v>23.05</v>
      </c>
      <c r="K118" s="86">
        <f>IF(Tableau1[[#This Row],[Id Impression]]&lt;&gt;0,WORKDAY(stats!$L$2,Tableau1[[#This Row],[Id Impression]],Férier)-1,0)</f>
        <v>43088</v>
      </c>
      <c r="L118" s="9">
        <v>71</v>
      </c>
      <c r="M118" s="66"/>
      <c r="N118" s="66"/>
      <c r="O118" s="66"/>
      <c r="P118" s="66"/>
      <c r="Q118" s="66"/>
    </row>
    <row r="119" spans="1:17" ht="12.9" customHeight="1" x14ac:dyDescent="0.55000000000000004">
      <c r="A119" s="10" t="s">
        <v>145</v>
      </c>
      <c r="B119" s="10" t="s">
        <v>145</v>
      </c>
      <c r="C119" s="4" t="s">
        <v>178</v>
      </c>
      <c r="D119" s="5">
        <v>1</v>
      </c>
      <c r="E119" s="5">
        <v>1</v>
      </c>
      <c r="F119" s="6">
        <v>6.3194444444444442E-2</v>
      </c>
      <c r="G119" s="7">
        <f t="shared" si="10"/>
        <v>6.3194444444444442E-2</v>
      </c>
      <c r="H119" s="4">
        <v>10.73</v>
      </c>
      <c r="I119" s="7">
        <f t="shared" si="8"/>
        <v>6.3194444444444442E-2</v>
      </c>
      <c r="J119" s="8">
        <f t="shared" si="9"/>
        <v>10.73</v>
      </c>
      <c r="K119" s="86">
        <f>IF(Tableau1[[#This Row],[Id Impression]]&lt;&gt;0,WORKDAY(stats!$L$2,Tableau1[[#This Row],[Id Impression]],Férier)-1,0)</f>
        <v>43089</v>
      </c>
      <c r="L119" s="9">
        <v>72</v>
      </c>
      <c r="M119" s="66"/>
      <c r="N119" s="66"/>
      <c r="O119" s="66"/>
      <c r="P119" s="66"/>
      <c r="Q119" s="66"/>
    </row>
    <row r="120" spans="1:17" ht="12.9" customHeight="1" x14ac:dyDescent="0.55000000000000004">
      <c r="A120" s="10" t="s">
        <v>145</v>
      </c>
      <c r="B120" s="10" t="s">
        <v>145</v>
      </c>
      <c r="C120" s="10" t="s">
        <v>182</v>
      </c>
      <c r="D120" s="5">
        <v>1</v>
      </c>
      <c r="E120" s="5">
        <v>1</v>
      </c>
      <c r="F120" s="11">
        <v>7.3611111111111113E-2</v>
      </c>
      <c r="G120" s="7">
        <f t="shared" si="10"/>
        <v>7.3611111111111113E-2</v>
      </c>
      <c r="H120" s="10">
        <v>18.54</v>
      </c>
      <c r="I120" s="7">
        <f t="shared" si="8"/>
        <v>7.3611111111111113E-2</v>
      </c>
      <c r="J120" s="8">
        <f t="shared" si="9"/>
        <v>18.54</v>
      </c>
      <c r="K120" s="86">
        <f>IF(Tableau1[[#This Row],[Id Impression]]&lt;&gt;0,WORKDAY(stats!$L$2,Tableau1[[#This Row],[Id Impression]],Férier)-1,0)</f>
        <v>43089</v>
      </c>
      <c r="L120" s="9">
        <v>72</v>
      </c>
      <c r="M120" s="66"/>
      <c r="N120" s="66"/>
      <c r="O120" s="66"/>
      <c r="P120" s="66"/>
      <c r="Q120" s="66"/>
    </row>
    <row r="121" spans="1:17" ht="12.9" customHeight="1" x14ac:dyDescent="0.55000000000000004">
      <c r="A121" s="10" t="s">
        <v>145</v>
      </c>
      <c r="B121" s="10" t="s">
        <v>145</v>
      </c>
      <c r="C121" s="4" t="s">
        <v>186</v>
      </c>
      <c r="D121" s="5">
        <v>1</v>
      </c>
      <c r="E121" s="5">
        <v>1</v>
      </c>
      <c r="F121" s="6">
        <v>8.8888888888888892E-2</v>
      </c>
      <c r="G121" s="7">
        <f t="shared" si="10"/>
        <v>8.8888888888888892E-2</v>
      </c>
      <c r="H121" s="4">
        <v>17.66</v>
      </c>
      <c r="I121" s="7">
        <f t="shared" si="8"/>
        <v>8.8888888888888892E-2</v>
      </c>
      <c r="J121" s="8">
        <f t="shared" si="9"/>
        <v>17.66</v>
      </c>
      <c r="K121" s="86">
        <f>IF(Tableau1[[#This Row],[Id Impression]]&lt;&gt;0,WORKDAY(stats!$L$2,Tableau1[[#This Row],[Id Impression]],Férier)-1,0)</f>
        <v>43089</v>
      </c>
      <c r="L121" s="9">
        <v>72</v>
      </c>
      <c r="M121" s="66"/>
      <c r="N121" s="66"/>
      <c r="O121" s="66"/>
      <c r="P121" s="66"/>
      <c r="Q121" s="66"/>
    </row>
    <row r="122" spans="1:17" ht="12.9" customHeight="1" x14ac:dyDescent="0.55000000000000004">
      <c r="A122" s="10" t="s">
        <v>145</v>
      </c>
      <c r="B122" s="10" t="s">
        <v>145</v>
      </c>
      <c r="C122" s="4" t="s">
        <v>183</v>
      </c>
      <c r="D122" s="5">
        <v>1</v>
      </c>
      <c r="E122" s="5">
        <v>1</v>
      </c>
      <c r="F122" s="6">
        <v>9.2361111111111116E-2</v>
      </c>
      <c r="G122" s="7">
        <f t="shared" si="10"/>
        <v>9.2361111111111116E-2</v>
      </c>
      <c r="H122" s="4">
        <v>17.57</v>
      </c>
      <c r="I122" s="7">
        <f t="shared" si="8"/>
        <v>9.2361111111111116E-2</v>
      </c>
      <c r="J122" s="8">
        <f t="shared" si="9"/>
        <v>17.57</v>
      </c>
      <c r="K122" s="86">
        <f>IF(Tableau1[[#This Row],[Id Impression]]&lt;&gt;0,WORKDAY(stats!$L$2,Tableau1[[#This Row],[Id Impression]],Férier)-1,0)</f>
        <v>43089</v>
      </c>
      <c r="L122" s="9">
        <v>72</v>
      </c>
      <c r="M122" s="66"/>
      <c r="N122" s="66"/>
      <c r="O122" s="66"/>
      <c r="P122" s="66"/>
      <c r="Q122" s="66"/>
    </row>
    <row r="123" spans="1:17" ht="12.9" customHeight="1" x14ac:dyDescent="0.55000000000000004">
      <c r="A123" s="10" t="s">
        <v>145</v>
      </c>
      <c r="B123" s="10" t="s">
        <v>145</v>
      </c>
      <c r="C123" s="4" t="s">
        <v>167</v>
      </c>
      <c r="D123" s="5">
        <v>1</v>
      </c>
      <c r="E123" s="5">
        <v>1</v>
      </c>
      <c r="F123" s="6">
        <v>0.14791666666666667</v>
      </c>
      <c r="G123" s="7">
        <f t="shared" si="10"/>
        <v>0.14791666666666667</v>
      </c>
      <c r="H123" s="4">
        <v>25.34</v>
      </c>
      <c r="I123" s="7">
        <f t="shared" si="8"/>
        <v>0.14791666666666667</v>
      </c>
      <c r="J123" s="8">
        <f t="shared" si="9"/>
        <v>25.34</v>
      </c>
      <c r="K123" s="86">
        <f>IF(Tableau1[[#This Row],[Id Impression]]&lt;&gt;0,WORKDAY(stats!$L$2,Tableau1[[#This Row],[Id Impression]],Férier)-1,0)</f>
        <v>43090</v>
      </c>
      <c r="L123" s="9">
        <v>73</v>
      </c>
      <c r="M123" s="66"/>
      <c r="N123" s="66"/>
      <c r="O123" s="66"/>
      <c r="P123" s="66"/>
      <c r="Q123" s="66"/>
    </row>
    <row r="124" spans="1:17" ht="12.9" customHeight="1" x14ac:dyDescent="0.55000000000000004">
      <c r="A124" s="10" t="s">
        <v>288</v>
      </c>
      <c r="B124" s="10" t="s">
        <v>101</v>
      </c>
      <c r="C124" s="4" t="s">
        <v>112</v>
      </c>
      <c r="D124" s="5">
        <v>1</v>
      </c>
      <c r="E124" s="5">
        <v>1</v>
      </c>
      <c r="F124" s="6">
        <v>2.6388888888888889E-2</v>
      </c>
      <c r="G124" s="7">
        <f t="shared" si="10"/>
        <v>2.6388888888888889E-2</v>
      </c>
      <c r="H124" s="4">
        <v>6.16</v>
      </c>
      <c r="I124" s="7">
        <f t="shared" si="8"/>
        <v>2.6388888888888889E-2</v>
      </c>
      <c r="J124" s="8">
        <f t="shared" si="9"/>
        <v>6.16</v>
      </c>
      <c r="K124" s="86">
        <f>IF(Tableau1[[#This Row],[Id Impression]]&lt;&gt;0,WORKDAY(stats!$L$2,Tableau1[[#This Row],[Id Impression]],Férier)-1,0)</f>
        <v>43090</v>
      </c>
      <c r="L124" s="9">
        <v>73</v>
      </c>
      <c r="M124" s="66"/>
      <c r="N124" s="66"/>
      <c r="O124" s="66"/>
      <c r="P124" s="66"/>
      <c r="Q124" s="66"/>
    </row>
    <row r="125" spans="1:17" ht="12.9" customHeight="1" x14ac:dyDescent="0.55000000000000004">
      <c r="A125" s="10" t="s">
        <v>145</v>
      </c>
      <c r="B125" s="10" t="s">
        <v>145</v>
      </c>
      <c r="C125" s="4" t="s">
        <v>180</v>
      </c>
      <c r="D125" s="5">
        <v>1</v>
      </c>
      <c r="E125" s="5">
        <v>1</v>
      </c>
      <c r="F125" s="6">
        <v>6.805555555555555E-2</v>
      </c>
      <c r="G125" s="7">
        <f t="shared" si="10"/>
        <v>6.805555555555555E-2</v>
      </c>
      <c r="H125" s="4">
        <v>16.07</v>
      </c>
      <c r="I125" s="7">
        <f t="shared" si="8"/>
        <v>6.805555555555555E-2</v>
      </c>
      <c r="J125" s="8">
        <f t="shared" si="9"/>
        <v>16.07</v>
      </c>
      <c r="K125" s="86">
        <f>IF(Tableau1[[#This Row],[Id Impression]]&lt;&gt;0,WORKDAY(stats!$L$2,Tableau1[[#This Row],[Id Impression]],Férier)-1,0)</f>
        <v>43090</v>
      </c>
      <c r="L125" s="9">
        <v>73</v>
      </c>
      <c r="M125" s="66"/>
      <c r="N125" s="66"/>
      <c r="O125" s="66"/>
      <c r="P125" s="66"/>
      <c r="Q125" s="66"/>
    </row>
    <row r="126" spans="1:17" ht="12.9" customHeight="1" x14ac:dyDescent="0.55000000000000004">
      <c r="A126" s="10" t="s">
        <v>145</v>
      </c>
      <c r="B126" s="10" t="s">
        <v>145</v>
      </c>
      <c r="C126" s="4" t="s">
        <v>187</v>
      </c>
      <c r="D126" s="5">
        <v>1</v>
      </c>
      <c r="E126" s="5">
        <v>1</v>
      </c>
      <c r="F126" s="6">
        <v>8.9583333333333334E-2</v>
      </c>
      <c r="G126" s="7">
        <f t="shared" si="10"/>
        <v>8.9583333333333334E-2</v>
      </c>
      <c r="H126" s="4">
        <v>24.46</v>
      </c>
      <c r="I126" s="7">
        <f t="shared" si="8"/>
        <v>8.9583333333333334E-2</v>
      </c>
      <c r="J126" s="8">
        <f t="shared" si="9"/>
        <v>24.46</v>
      </c>
      <c r="K126" s="86">
        <f>IF(Tableau1[[#This Row],[Id Impression]]&lt;&gt;0,WORKDAY(stats!$L$2,Tableau1[[#This Row],[Id Impression]],Férier)-1,0)</f>
        <v>43090</v>
      </c>
      <c r="L126" s="9">
        <v>73</v>
      </c>
      <c r="M126" s="66"/>
      <c r="N126" s="66"/>
      <c r="O126" s="66"/>
      <c r="P126" s="66"/>
      <c r="Q126" s="66"/>
    </row>
    <row r="127" spans="1:17" ht="12.9" customHeight="1" x14ac:dyDescent="0.55000000000000004">
      <c r="A127" s="10" t="s">
        <v>145</v>
      </c>
      <c r="B127" s="10" t="s">
        <v>145</v>
      </c>
      <c r="C127" s="19" t="s">
        <v>184</v>
      </c>
      <c r="D127" s="5">
        <v>1</v>
      </c>
      <c r="E127" s="5">
        <v>1</v>
      </c>
      <c r="F127" s="20">
        <v>8.819444444444445E-2</v>
      </c>
      <c r="G127" s="22">
        <f t="shared" si="10"/>
        <v>8.819444444444445E-2</v>
      </c>
      <c r="H127" s="19">
        <v>24.3</v>
      </c>
      <c r="I127" s="7">
        <f t="shared" si="8"/>
        <v>8.819444444444445E-2</v>
      </c>
      <c r="J127" s="8">
        <f t="shared" si="9"/>
        <v>24.3</v>
      </c>
      <c r="K127" s="86">
        <f>IF(Tableau1[[#This Row],[Id Impression]]&lt;&gt;0,WORKDAY(stats!$L$2,Tableau1[[#This Row],[Id Impression]],Férier)-1,0)</f>
        <v>43102</v>
      </c>
      <c r="L127" s="9">
        <v>74</v>
      </c>
      <c r="M127" s="66"/>
      <c r="N127" s="66"/>
      <c r="O127" s="66"/>
      <c r="P127" s="66"/>
      <c r="Q127" s="66"/>
    </row>
    <row r="128" spans="1:17" ht="12.9" customHeight="1" x14ac:dyDescent="0.55000000000000004">
      <c r="A128" s="10" t="s">
        <v>288</v>
      </c>
      <c r="B128" s="10" t="s">
        <v>101</v>
      </c>
      <c r="C128" s="4" t="s">
        <v>102</v>
      </c>
      <c r="D128" s="5">
        <v>1</v>
      </c>
      <c r="E128" s="5">
        <v>1</v>
      </c>
      <c r="F128" s="6">
        <v>6.3194444444444442E-2</v>
      </c>
      <c r="G128" s="7">
        <f t="shared" si="10"/>
        <v>6.3194444444444442E-2</v>
      </c>
      <c r="H128" s="4">
        <v>15.28</v>
      </c>
      <c r="I128" s="7">
        <f t="shared" si="8"/>
        <v>6.3194444444444442E-2</v>
      </c>
      <c r="J128" s="8">
        <f t="shared" si="9"/>
        <v>15.28</v>
      </c>
      <c r="K128" s="86">
        <f>IF(Tableau1[[#This Row],[Id Impression]]&lt;&gt;0,WORKDAY(stats!$L$2,Tableau1[[#This Row],[Id Impression]],Férier)-1,0)</f>
        <v>43102</v>
      </c>
      <c r="L128" s="9">
        <v>74</v>
      </c>
      <c r="M128" s="66"/>
      <c r="N128" s="66"/>
      <c r="O128" s="66"/>
      <c r="P128" s="66"/>
      <c r="Q128" s="66"/>
    </row>
    <row r="129" spans="1:17" ht="12.9" customHeight="1" x14ac:dyDescent="0.55000000000000004">
      <c r="A129" s="10" t="s">
        <v>145</v>
      </c>
      <c r="B129" s="10" t="s">
        <v>145</v>
      </c>
      <c r="C129" s="4" t="s">
        <v>169</v>
      </c>
      <c r="D129" s="5">
        <v>1</v>
      </c>
      <c r="E129" s="5">
        <v>1</v>
      </c>
      <c r="F129" s="6">
        <v>0.14791666666666667</v>
      </c>
      <c r="G129" s="7">
        <f t="shared" si="10"/>
        <v>0.14791666666666667</v>
      </c>
      <c r="H129" s="4">
        <v>25.51</v>
      </c>
      <c r="I129" s="7">
        <f t="shared" si="8"/>
        <v>0.14791666666666667</v>
      </c>
      <c r="J129" s="8">
        <f t="shared" si="9"/>
        <v>25.51</v>
      </c>
      <c r="K129" s="86">
        <f>IF(Tableau1[[#This Row],[Id Impression]]&lt;&gt;0,WORKDAY(stats!$L$2,Tableau1[[#This Row],[Id Impression]],Férier)-1,0)</f>
        <v>43103</v>
      </c>
      <c r="L129" s="9">
        <v>75</v>
      </c>
      <c r="M129" s="66"/>
      <c r="N129" s="66"/>
      <c r="O129" s="66"/>
      <c r="P129" s="66"/>
      <c r="Q129" s="66"/>
    </row>
    <row r="130" spans="1:17" ht="12.9" customHeight="1" x14ac:dyDescent="0.55000000000000004">
      <c r="A130" s="10" t="s">
        <v>145</v>
      </c>
      <c r="B130" s="10" t="s">
        <v>145</v>
      </c>
      <c r="C130" s="10" t="s">
        <v>165</v>
      </c>
      <c r="D130" s="5">
        <v>1</v>
      </c>
      <c r="E130" s="5">
        <v>1</v>
      </c>
      <c r="F130" s="6">
        <v>0.14930555555555555</v>
      </c>
      <c r="G130" s="7">
        <f t="shared" si="10"/>
        <v>0.14930555555555555</v>
      </c>
      <c r="H130" s="4">
        <v>27.48</v>
      </c>
      <c r="I130" s="7">
        <f t="shared" si="8"/>
        <v>0.14930555555555555</v>
      </c>
      <c r="J130" s="8">
        <f t="shared" si="9"/>
        <v>27.48</v>
      </c>
      <c r="K130" s="86">
        <f>IF(Tableau1[[#This Row],[Id Impression]]&lt;&gt;0,WORKDAY(stats!$L$2,Tableau1[[#This Row],[Id Impression]],Férier)-1,0)</f>
        <v>43104</v>
      </c>
      <c r="L130" s="9">
        <v>76</v>
      </c>
      <c r="M130" s="66"/>
      <c r="N130" s="66"/>
      <c r="O130" s="66"/>
      <c r="P130" s="66"/>
      <c r="Q130" s="66"/>
    </row>
    <row r="131" spans="1:17" ht="12.9" customHeight="1" x14ac:dyDescent="0.55000000000000004">
      <c r="A131" s="10" t="s">
        <v>145</v>
      </c>
      <c r="B131" s="10" t="s">
        <v>145</v>
      </c>
      <c r="C131" s="10" t="s">
        <v>163</v>
      </c>
      <c r="D131" s="5">
        <v>1</v>
      </c>
      <c r="E131" s="5">
        <v>1</v>
      </c>
      <c r="F131" s="6">
        <v>0.15</v>
      </c>
      <c r="G131" s="7">
        <f t="shared" si="10"/>
        <v>0.15</v>
      </c>
      <c r="H131" s="4">
        <v>27.51</v>
      </c>
      <c r="I131" s="7">
        <f t="shared" si="8"/>
        <v>0.15</v>
      </c>
      <c r="J131" s="8">
        <f t="shared" si="9"/>
        <v>27.51</v>
      </c>
      <c r="K131" s="86">
        <f>IF(Tableau1[[#This Row],[Id Impression]]&lt;&gt;0,WORKDAY(stats!$L$2,Tableau1[[#This Row],[Id Impression]],Férier)-1,0)</f>
        <v>43108</v>
      </c>
      <c r="L131" s="9">
        <v>78</v>
      </c>
      <c r="M131" s="66"/>
      <c r="N131" s="66"/>
      <c r="O131" s="66"/>
      <c r="P131" s="66"/>
      <c r="Q131" s="66"/>
    </row>
    <row r="132" spans="1:17" ht="12.9" customHeight="1" x14ac:dyDescent="0.55000000000000004">
      <c r="A132" s="10" t="s">
        <v>288</v>
      </c>
      <c r="B132" s="10" t="s">
        <v>101</v>
      </c>
      <c r="C132" s="4" t="s">
        <v>104</v>
      </c>
      <c r="D132" s="5">
        <v>1</v>
      </c>
      <c r="E132" s="5">
        <v>1</v>
      </c>
      <c r="F132" s="6">
        <v>6.6666666666666666E-2</v>
      </c>
      <c r="G132" s="7">
        <f t="shared" si="10"/>
        <v>6.6666666666666666E-2</v>
      </c>
      <c r="H132" s="4">
        <v>13.03</v>
      </c>
      <c r="I132" s="7">
        <f t="shared" si="8"/>
        <v>6.6666666666666666E-2</v>
      </c>
      <c r="J132" s="8">
        <f t="shared" si="9"/>
        <v>13.03</v>
      </c>
      <c r="K132" s="86">
        <f>IF(Tableau1[[#This Row],[Id Impression]]&lt;&gt;0,WORKDAY(stats!$L$2,Tableau1[[#This Row],[Id Impression]],Férier)-1,0)</f>
        <v>43109</v>
      </c>
      <c r="L132" s="9">
        <v>79</v>
      </c>
      <c r="M132" s="66"/>
      <c r="N132" s="66"/>
      <c r="O132" s="66"/>
      <c r="P132" s="66"/>
      <c r="Q132" s="66"/>
    </row>
    <row r="133" spans="1:17" ht="12.9" customHeight="1" x14ac:dyDescent="0.55000000000000004">
      <c r="A133" s="10" t="s">
        <v>288</v>
      </c>
      <c r="B133" s="10" t="s">
        <v>101</v>
      </c>
      <c r="C133" s="4" t="s">
        <v>105</v>
      </c>
      <c r="D133" s="5">
        <v>1</v>
      </c>
      <c r="E133" s="5">
        <v>1</v>
      </c>
      <c r="F133" s="6">
        <v>7.8472222222222221E-2</v>
      </c>
      <c r="G133" s="7">
        <f t="shared" si="10"/>
        <v>7.8472222222222221E-2</v>
      </c>
      <c r="H133" s="4">
        <v>13.49</v>
      </c>
      <c r="I133" s="7">
        <f t="shared" si="8"/>
        <v>7.8472222222222221E-2</v>
      </c>
      <c r="J133" s="8">
        <f t="shared" si="9"/>
        <v>13.49</v>
      </c>
      <c r="K133" s="86">
        <f>IF(Tableau1[[#This Row],[Id Impression]]&lt;&gt;0,WORKDAY(stats!$L$2,Tableau1[[#This Row],[Id Impression]],Férier)-1,0)</f>
        <v>43109</v>
      </c>
      <c r="L133" s="9">
        <v>79</v>
      </c>
      <c r="M133" s="66"/>
      <c r="N133" s="66"/>
      <c r="O133" s="66"/>
      <c r="P133" s="66"/>
      <c r="Q133" s="66"/>
    </row>
    <row r="134" spans="1:17" ht="12.9" customHeight="1" x14ac:dyDescent="0.55000000000000004">
      <c r="A134" s="10" t="s">
        <v>288</v>
      </c>
      <c r="B134" s="10" t="s">
        <v>101</v>
      </c>
      <c r="C134" s="4" t="s">
        <v>106</v>
      </c>
      <c r="D134" s="5">
        <v>1</v>
      </c>
      <c r="E134" s="5">
        <v>1</v>
      </c>
      <c r="F134" s="6">
        <v>0.20347222222222219</v>
      </c>
      <c r="G134" s="7">
        <f t="shared" si="10"/>
        <v>0.20347222222222219</v>
      </c>
      <c r="H134" s="4">
        <v>38.700000000000003</v>
      </c>
      <c r="I134" s="7">
        <f t="shared" si="8"/>
        <v>0.20347222222222219</v>
      </c>
      <c r="J134" s="8">
        <f t="shared" si="9"/>
        <v>38.700000000000003</v>
      </c>
      <c r="K134" s="86">
        <f>IF(Tableau1[[#This Row],[Id Impression]]&lt;&gt;0,WORKDAY(stats!$L$2,Tableau1[[#This Row],[Id Impression]],Férier)-1,0)</f>
        <v>43110</v>
      </c>
      <c r="L134" s="9">
        <v>80</v>
      </c>
      <c r="M134" s="66"/>
      <c r="N134" s="66"/>
      <c r="O134" s="66"/>
      <c r="P134" s="66"/>
      <c r="Q134" s="66"/>
    </row>
    <row r="135" spans="1:17" ht="12.9" customHeight="1" x14ac:dyDescent="0.55000000000000004">
      <c r="A135" s="10" t="s">
        <v>288</v>
      </c>
      <c r="B135" s="10" t="s">
        <v>101</v>
      </c>
      <c r="C135" s="4" t="s">
        <v>51</v>
      </c>
      <c r="D135" s="5">
        <v>1</v>
      </c>
      <c r="E135" s="5">
        <v>1</v>
      </c>
      <c r="F135" s="6">
        <v>0.10694444444444444</v>
      </c>
      <c r="G135" s="7">
        <f t="shared" si="10"/>
        <v>0.10694444444444444</v>
      </c>
      <c r="H135" s="4">
        <v>25.3</v>
      </c>
      <c r="I135" s="7">
        <f t="shared" si="8"/>
        <v>0.10694444444444444</v>
      </c>
      <c r="J135" s="8">
        <f t="shared" si="9"/>
        <v>25.3</v>
      </c>
      <c r="K135" s="86">
        <f>IF(Tableau1[[#This Row],[Id Impression]]&lt;&gt;0,WORKDAY(stats!$L$2,Tableau1[[#This Row],[Id Impression]],Férier)-1,0)</f>
        <v>43111</v>
      </c>
      <c r="L135" s="9">
        <v>81</v>
      </c>
      <c r="M135" s="66"/>
      <c r="N135" s="66"/>
      <c r="O135" s="66"/>
      <c r="P135" s="66"/>
      <c r="Q135" s="66"/>
    </row>
    <row r="136" spans="1:17" ht="12.9" customHeight="1" x14ac:dyDescent="0.55000000000000004">
      <c r="A136" s="10" t="s">
        <v>288</v>
      </c>
      <c r="B136" s="10" t="s">
        <v>101</v>
      </c>
      <c r="C136" s="4" t="s">
        <v>107</v>
      </c>
      <c r="D136" s="5">
        <v>1</v>
      </c>
      <c r="E136" s="5">
        <v>1</v>
      </c>
      <c r="F136" s="6">
        <v>6.3194444444444442E-2</v>
      </c>
      <c r="G136" s="7">
        <f t="shared" ref="G136:G167" si="11">F136</f>
        <v>6.3194444444444442E-2</v>
      </c>
      <c r="H136" s="4">
        <v>15.36</v>
      </c>
      <c r="I136" s="7">
        <f t="shared" ref="I136:I199" si="12">G136*E136</f>
        <v>6.3194444444444442E-2</v>
      </c>
      <c r="J136" s="8">
        <f t="shared" ref="J136:J199" si="13">E136*H136</f>
        <v>15.36</v>
      </c>
      <c r="K136" s="86">
        <f>IF(Tableau1[[#This Row],[Id Impression]]&lt;&gt;0,WORKDAY(stats!$L$2,Tableau1[[#This Row],[Id Impression]],Férier)-1,0)</f>
        <v>43111</v>
      </c>
      <c r="L136" s="9">
        <v>81</v>
      </c>
      <c r="M136" s="66"/>
      <c r="N136" s="66"/>
      <c r="O136" s="66"/>
      <c r="P136" s="66"/>
      <c r="Q136" s="66"/>
    </row>
    <row r="137" spans="1:17" ht="12.9" customHeight="1" x14ac:dyDescent="0.55000000000000004">
      <c r="A137" s="10" t="s">
        <v>288</v>
      </c>
      <c r="B137" s="10" t="s">
        <v>101</v>
      </c>
      <c r="C137" s="4" t="s">
        <v>108</v>
      </c>
      <c r="D137" s="5">
        <v>1</v>
      </c>
      <c r="E137" s="5">
        <v>1</v>
      </c>
      <c r="F137" s="6">
        <v>4.7222222222222221E-2</v>
      </c>
      <c r="G137" s="7">
        <f t="shared" si="11"/>
        <v>4.7222222222222221E-2</v>
      </c>
      <c r="H137" s="4">
        <v>5.92</v>
      </c>
      <c r="I137" s="7">
        <f t="shared" si="12"/>
        <v>4.7222222222222221E-2</v>
      </c>
      <c r="J137" s="8">
        <f t="shared" si="13"/>
        <v>5.92</v>
      </c>
      <c r="K137" s="86">
        <f>IF(Tableau1[[#This Row],[Id Impression]]&lt;&gt;0,WORKDAY(stats!$L$2,Tableau1[[#This Row],[Id Impression]],Férier)-1,0)</f>
        <v>43114</v>
      </c>
      <c r="L137" s="9">
        <v>82</v>
      </c>
      <c r="M137" s="66"/>
      <c r="N137" s="66"/>
      <c r="O137" s="66"/>
      <c r="P137" s="66"/>
      <c r="Q137" s="66"/>
    </row>
    <row r="138" spans="1:17" ht="12.9" customHeight="1" x14ac:dyDescent="0.55000000000000004">
      <c r="A138" s="10" t="s">
        <v>288</v>
      </c>
      <c r="B138" s="10" t="s">
        <v>101</v>
      </c>
      <c r="C138" s="19" t="s">
        <v>110</v>
      </c>
      <c r="D138" s="5">
        <v>1</v>
      </c>
      <c r="E138" s="5">
        <v>1</v>
      </c>
      <c r="F138" s="20">
        <v>0.13125000000000001</v>
      </c>
      <c r="G138" s="22">
        <f t="shared" si="11"/>
        <v>0.13125000000000001</v>
      </c>
      <c r="H138" s="19">
        <v>36.65</v>
      </c>
      <c r="I138" s="7">
        <f t="shared" si="12"/>
        <v>0.13125000000000001</v>
      </c>
      <c r="J138" s="8">
        <f t="shared" si="13"/>
        <v>36.65</v>
      </c>
      <c r="K138" s="86">
        <f>IF(Tableau1[[#This Row],[Id Impression]]&lt;&gt;0,WORKDAY(stats!$L$2,Tableau1[[#This Row],[Id Impression]],Férier)-1,0)</f>
        <v>43114</v>
      </c>
      <c r="L138" s="9">
        <v>82</v>
      </c>
      <c r="M138" s="66"/>
      <c r="N138" s="66"/>
      <c r="O138" s="66"/>
      <c r="P138" s="66"/>
      <c r="Q138" s="66"/>
    </row>
    <row r="139" spans="1:17" ht="12.9" customHeight="1" x14ac:dyDescent="0.55000000000000004">
      <c r="A139" s="10" t="s">
        <v>288</v>
      </c>
      <c r="B139" s="10" t="s">
        <v>101</v>
      </c>
      <c r="C139" s="4" t="s">
        <v>111</v>
      </c>
      <c r="D139" s="5">
        <v>1</v>
      </c>
      <c r="E139" s="5">
        <v>1</v>
      </c>
      <c r="F139" s="6">
        <v>5.8333333333333327E-2</v>
      </c>
      <c r="G139" s="7">
        <f t="shared" si="11"/>
        <v>5.8333333333333327E-2</v>
      </c>
      <c r="H139" s="4">
        <v>15.05</v>
      </c>
      <c r="I139" s="7">
        <f t="shared" si="12"/>
        <v>5.8333333333333327E-2</v>
      </c>
      <c r="J139" s="8">
        <f t="shared" si="13"/>
        <v>15.05</v>
      </c>
      <c r="K139" s="86">
        <f>IF(Tableau1[[#This Row],[Id Impression]]&lt;&gt;0,WORKDAY(stats!$L$2,Tableau1[[#This Row],[Id Impression]],Férier)-1,0)</f>
        <v>43115</v>
      </c>
      <c r="L139" s="9">
        <v>83</v>
      </c>
      <c r="M139" s="66"/>
      <c r="N139" s="66"/>
      <c r="O139" s="66"/>
      <c r="P139" s="66"/>
      <c r="Q139" s="66"/>
    </row>
    <row r="140" spans="1:17" ht="12.9" customHeight="1" x14ac:dyDescent="0.55000000000000004">
      <c r="A140" s="10" t="s">
        <v>288</v>
      </c>
      <c r="B140" s="10" t="s">
        <v>101</v>
      </c>
      <c r="C140" s="4" t="s">
        <v>114</v>
      </c>
      <c r="D140" s="5">
        <v>1</v>
      </c>
      <c r="E140" s="5">
        <v>1</v>
      </c>
      <c r="F140" s="6">
        <v>8.1250000000000003E-2</v>
      </c>
      <c r="G140" s="7">
        <f t="shared" si="11"/>
        <v>8.1250000000000003E-2</v>
      </c>
      <c r="H140" s="4">
        <v>16.38</v>
      </c>
      <c r="I140" s="7">
        <f t="shared" si="12"/>
        <v>8.1250000000000003E-2</v>
      </c>
      <c r="J140" s="8">
        <f t="shared" si="13"/>
        <v>16.38</v>
      </c>
      <c r="K140" s="86">
        <f>IF(Tableau1[[#This Row],[Id Impression]]&lt;&gt;0,WORKDAY(stats!$L$2,Tableau1[[#This Row],[Id Impression]],Férier)-1,0)</f>
        <v>43115</v>
      </c>
      <c r="L140" s="9">
        <v>83</v>
      </c>
      <c r="M140" s="66"/>
      <c r="N140" s="66"/>
      <c r="O140" s="66"/>
      <c r="P140" s="66"/>
      <c r="Q140" s="66"/>
    </row>
    <row r="141" spans="1:17" ht="12.9" customHeight="1" x14ac:dyDescent="0.55000000000000004">
      <c r="A141" s="10" t="s">
        <v>288</v>
      </c>
      <c r="B141" s="10" t="s">
        <v>101</v>
      </c>
      <c r="C141" s="4" t="s">
        <v>109</v>
      </c>
      <c r="D141" s="5">
        <v>1</v>
      </c>
      <c r="E141" s="5">
        <v>1</v>
      </c>
      <c r="F141" s="6">
        <v>0.13333333333333333</v>
      </c>
      <c r="G141" s="7">
        <f t="shared" si="11"/>
        <v>0.13333333333333333</v>
      </c>
      <c r="H141" s="4">
        <v>30.15</v>
      </c>
      <c r="I141" s="7">
        <f t="shared" si="12"/>
        <v>0.13333333333333333</v>
      </c>
      <c r="J141" s="8">
        <f t="shared" si="13"/>
        <v>30.15</v>
      </c>
      <c r="K141" s="86">
        <f>IF(Tableau1[[#This Row],[Id Impression]]&lt;&gt;0,WORKDAY(stats!$L$2,Tableau1[[#This Row],[Id Impression]],Férier)-1,0)</f>
        <v>43116</v>
      </c>
      <c r="L141" s="9">
        <v>84</v>
      </c>
      <c r="M141" s="66"/>
      <c r="N141" s="66"/>
      <c r="O141" s="66"/>
      <c r="P141" s="66"/>
      <c r="Q141" s="66"/>
    </row>
    <row r="142" spans="1:17" ht="12.9" customHeight="1" x14ac:dyDescent="0.55000000000000004">
      <c r="A142" s="10" t="s">
        <v>115</v>
      </c>
      <c r="B142" s="10" t="s">
        <v>124</v>
      </c>
      <c r="C142" s="4" t="s">
        <v>137</v>
      </c>
      <c r="D142" s="5">
        <v>1</v>
      </c>
      <c r="E142" s="5">
        <v>1</v>
      </c>
      <c r="F142" s="6">
        <v>2.4999999999999998E-2</v>
      </c>
      <c r="G142" s="7">
        <f t="shared" si="11"/>
        <v>2.4999999999999998E-2</v>
      </c>
      <c r="H142" s="4">
        <v>3.83</v>
      </c>
      <c r="I142" s="7">
        <f t="shared" si="12"/>
        <v>2.4999999999999998E-2</v>
      </c>
      <c r="J142" s="8">
        <f t="shared" si="13"/>
        <v>3.83</v>
      </c>
      <c r="K142" s="86">
        <f>IF(Tableau1[[#This Row],[Id Impression]]&lt;&gt;0,WORKDAY(stats!$L$2,Tableau1[[#This Row],[Id Impression]],Férier)-1,0)</f>
        <v>43116</v>
      </c>
      <c r="L142" s="9">
        <v>84</v>
      </c>
      <c r="M142" s="66"/>
      <c r="N142" s="66"/>
      <c r="O142" s="66"/>
      <c r="P142" s="66"/>
      <c r="Q142" s="66"/>
    </row>
    <row r="143" spans="1:17" ht="12.9" customHeight="1" x14ac:dyDescent="0.55000000000000004">
      <c r="A143" s="10" t="s">
        <v>288</v>
      </c>
      <c r="B143" s="10" t="s">
        <v>101</v>
      </c>
      <c r="C143" s="4" t="s">
        <v>113</v>
      </c>
      <c r="D143" s="5">
        <v>1</v>
      </c>
      <c r="E143" s="5">
        <v>1</v>
      </c>
      <c r="F143" s="6">
        <v>0.125</v>
      </c>
      <c r="G143" s="7">
        <f t="shared" si="11"/>
        <v>0.125</v>
      </c>
      <c r="H143" s="4">
        <v>22.17</v>
      </c>
      <c r="I143" s="7">
        <f t="shared" si="12"/>
        <v>0.125</v>
      </c>
      <c r="J143" s="8">
        <f t="shared" si="13"/>
        <v>22.17</v>
      </c>
      <c r="K143" s="86">
        <f>IF(Tableau1[[#This Row],[Id Impression]]&lt;&gt;0,WORKDAY(stats!$L$2,Tableau1[[#This Row],[Id Impression]],Férier)-1,0)</f>
        <v>43117</v>
      </c>
      <c r="L143" s="9">
        <v>85</v>
      </c>
      <c r="M143" s="66"/>
      <c r="N143" s="66"/>
      <c r="O143" s="66"/>
      <c r="P143" s="66"/>
      <c r="Q143" s="66"/>
    </row>
    <row r="144" spans="1:17" ht="12.9" customHeight="1" x14ac:dyDescent="0.55000000000000004">
      <c r="A144" s="10" t="s">
        <v>115</v>
      </c>
      <c r="B144" s="10" t="s">
        <v>124</v>
      </c>
      <c r="C144" s="4" t="s">
        <v>140</v>
      </c>
      <c r="D144" s="5">
        <v>1</v>
      </c>
      <c r="E144" s="5">
        <v>1</v>
      </c>
      <c r="F144" s="6">
        <v>3.888888888888889E-2</v>
      </c>
      <c r="G144" s="7">
        <f t="shared" si="11"/>
        <v>3.888888888888889E-2</v>
      </c>
      <c r="H144" s="4">
        <v>11.03</v>
      </c>
      <c r="I144" s="7">
        <f t="shared" si="12"/>
        <v>3.888888888888889E-2</v>
      </c>
      <c r="J144" s="8">
        <f t="shared" si="13"/>
        <v>11.03</v>
      </c>
      <c r="K144" s="86">
        <f>IF(Tableau1[[#This Row],[Id Impression]]&lt;&gt;0,WORKDAY(stats!$L$2,Tableau1[[#This Row],[Id Impression]],Férier)-1,0)</f>
        <v>43117</v>
      </c>
      <c r="L144" s="9">
        <v>85</v>
      </c>
      <c r="M144" s="66"/>
      <c r="N144" s="66"/>
      <c r="O144" s="66"/>
      <c r="P144" s="66"/>
      <c r="Q144" s="66"/>
    </row>
    <row r="145" spans="1:17" ht="12.9" customHeight="1" x14ac:dyDescent="0.55000000000000004">
      <c r="A145" s="10" t="s">
        <v>115</v>
      </c>
      <c r="B145" s="10" t="s">
        <v>124</v>
      </c>
      <c r="C145" s="4" t="s">
        <v>125</v>
      </c>
      <c r="D145" s="5">
        <v>1</v>
      </c>
      <c r="E145" s="5">
        <v>1</v>
      </c>
      <c r="F145" s="6">
        <v>0.14791666666666667</v>
      </c>
      <c r="G145" s="7">
        <f t="shared" si="11"/>
        <v>0.14791666666666667</v>
      </c>
      <c r="H145" s="4">
        <v>26.82</v>
      </c>
      <c r="I145" s="7">
        <f t="shared" si="12"/>
        <v>0.14791666666666667</v>
      </c>
      <c r="J145" s="8">
        <f t="shared" si="13"/>
        <v>26.82</v>
      </c>
      <c r="K145" s="86">
        <f>IF(Tableau1[[#This Row],[Id Impression]]&lt;&gt;0,WORKDAY(stats!$L$2,Tableau1[[#This Row],[Id Impression]],Férier)-1,0)</f>
        <v>43118</v>
      </c>
      <c r="L145" s="9">
        <v>86</v>
      </c>
      <c r="M145" s="66"/>
      <c r="N145" s="66"/>
      <c r="O145" s="66"/>
      <c r="P145" s="66"/>
      <c r="Q145" s="66"/>
    </row>
    <row r="146" spans="1:17" ht="12.9" customHeight="1" x14ac:dyDescent="0.55000000000000004">
      <c r="A146" s="10" t="s">
        <v>115</v>
      </c>
      <c r="B146" s="10" t="s">
        <v>124</v>
      </c>
      <c r="C146" s="4" t="s">
        <v>138</v>
      </c>
      <c r="D146" s="5">
        <v>1</v>
      </c>
      <c r="E146" s="5">
        <v>1</v>
      </c>
      <c r="F146" s="6">
        <v>3.3333333333333333E-2</v>
      </c>
      <c r="G146" s="7">
        <f t="shared" si="11"/>
        <v>3.3333333333333333E-2</v>
      </c>
      <c r="H146" s="4">
        <v>9.1</v>
      </c>
      <c r="I146" s="7">
        <f t="shared" si="12"/>
        <v>3.3333333333333333E-2</v>
      </c>
      <c r="J146" s="8">
        <f t="shared" si="13"/>
        <v>9.1</v>
      </c>
      <c r="K146" s="86">
        <f>IF(Tableau1[[#This Row],[Id Impression]]&lt;&gt;0,WORKDAY(stats!$L$2,Tableau1[[#This Row],[Id Impression]],Férier)-1,0)</f>
        <v>43118</v>
      </c>
      <c r="L146" s="9">
        <v>86</v>
      </c>
      <c r="M146" s="66"/>
      <c r="N146" s="66"/>
      <c r="O146" s="66"/>
      <c r="P146" s="66"/>
      <c r="Q146" s="66"/>
    </row>
    <row r="147" spans="1:17" ht="12.9" customHeight="1" x14ac:dyDescent="0.55000000000000004">
      <c r="A147" s="10" t="s">
        <v>115</v>
      </c>
      <c r="B147" s="10" t="s">
        <v>124</v>
      </c>
      <c r="C147" s="4" t="s">
        <v>126</v>
      </c>
      <c r="D147" s="5">
        <v>1</v>
      </c>
      <c r="E147" s="5">
        <v>1</v>
      </c>
      <c r="F147" s="6">
        <v>0.16041666666666668</v>
      </c>
      <c r="G147" s="7">
        <f t="shared" si="11"/>
        <v>0.16041666666666668</v>
      </c>
      <c r="H147" s="4">
        <v>29.65</v>
      </c>
      <c r="I147" s="7">
        <f t="shared" si="12"/>
        <v>0.16041666666666668</v>
      </c>
      <c r="J147" s="8">
        <f t="shared" si="13"/>
        <v>29.65</v>
      </c>
      <c r="K147" s="86">
        <f>IF(Tableau1[[#This Row],[Id Impression]]&lt;&gt;0,WORKDAY(stats!$L$2,Tableau1[[#This Row],[Id Impression]],Férier)-1,0)</f>
        <v>43121</v>
      </c>
      <c r="L147" s="9">
        <v>87</v>
      </c>
      <c r="M147" s="66"/>
      <c r="N147" s="66"/>
      <c r="O147" s="66"/>
      <c r="P147" s="66"/>
      <c r="Q147" s="66"/>
    </row>
    <row r="148" spans="1:17" ht="12.9" customHeight="1" x14ac:dyDescent="0.55000000000000004">
      <c r="A148" s="10" t="s">
        <v>115</v>
      </c>
      <c r="B148" s="10" t="s">
        <v>124</v>
      </c>
      <c r="C148" s="4" t="s">
        <v>127</v>
      </c>
      <c r="D148" s="5">
        <v>1</v>
      </c>
      <c r="E148" s="5">
        <v>1</v>
      </c>
      <c r="F148" s="6">
        <v>0.17083333333333331</v>
      </c>
      <c r="G148" s="7">
        <f t="shared" si="11"/>
        <v>0.17083333333333331</v>
      </c>
      <c r="H148" s="4">
        <v>30.1</v>
      </c>
      <c r="I148" s="7">
        <f t="shared" si="12"/>
        <v>0.17083333333333331</v>
      </c>
      <c r="J148" s="8">
        <f t="shared" si="13"/>
        <v>30.1</v>
      </c>
      <c r="K148" s="86">
        <f>IF(Tableau1[[#This Row],[Id Impression]]&lt;&gt;0,WORKDAY(stats!$L$2,Tableau1[[#This Row],[Id Impression]],Férier)-1,0)</f>
        <v>43122</v>
      </c>
      <c r="L148" s="9">
        <v>88</v>
      </c>
      <c r="M148" s="66"/>
      <c r="N148" s="66"/>
      <c r="O148" s="66"/>
      <c r="P148" s="66"/>
      <c r="Q148" s="66"/>
    </row>
    <row r="149" spans="1:17" ht="12.9" customHeight="1" x14ac:dyDescent="0.55000000000000004">
      <c r="A149" s="10" t="s">
        <v>115</v>
      </c>
      <c r="B149" s="10" t="s">
        <v>124</v>
      </c>
      <c r="C149" s="4" t="s">
        <v>132</v>
      </c>
      <c r="D149" s="5">
        <v>1</v>
      </c>
      <c r="E149" s="5">
        <v>1</v>
      </c>
      <c r="F149" s="6">
        <v>0.20694444444444446</v>
      </c>
      <c r="G149" s="7">
        <f t="shared" si="11"/>
        <v>0.20694444444444446</v>
      </c>
      <c r="H149" s="4">
        <v>42.91</v>
      </c>
      <c r="I149" s="7">
        <f t="shared" si="12"/>
        <v>0.20694444444444446</v>
      </c>
      <c r="J149" s="8">
        <f t="shared" si="13"/>
        <v>42.91</v>
      </c>
      <c r="K149" s="86">
        <f>IF(Tableau1[[#This Row],[Id Impression]]&lt;&gt;0,WORKDAY(stats!$L$2,Tableau1[[#This Row],[Id Impression]],Férier)-1,0)</f>
        <v>43123</v>
      </c>
      <c r="L149" s="9">
        <v>89</v>
      </c>
      <c r="M149" s="66"/>
      <c r="N149" s="66"/>
      <c r="O149" s="66"/>
      <c r="P149" s="66"/>
      <c r="Q149" s="66"/>
    </row>
    <row r="150" spans="1:17" ht="12.9" customHeight="1" x14ac:dyDescent="0.55000000000000004">
      <c r="A150" s="10" t="s">
        <v>115</v>
      </c>
      <c r="B150" s="10" t="s">
        <v>124</v>
      </c>
      <c r="C150" s="4" t="s">
        <v>133</v>
      </c>
      <c r="D150" s="5">
        <v>1</v>
      </c>
      <c r="E150" s="5">
        <v>1</v>
      </c>
      <c r="F150" s="6">
        <v>0.23750000000000002</v>
      </c>
      <c r="G150" s="7">
        <f t="shared" si="11"/>
        <v>0.23750000000000002</v>
      </c>
      <c r="H150" s="4">
        <v>39.229999999999997</v>
      </c>
      <c r="I150" s="7">
        <f t="shared" si="12"/>
        <v>0.23750000000000002</v>
      </c>
      <c r="J150" s="8">
        <f t="shared" si="13"/>
        <v>39.229999999999997</v>
      </c>
      <c r="K150" s="86">
        <f>IF(Tableau1[[#This Row],[Id Impression]]&lt;&gt;0,WORKDAY(stats!$L$2,Tableau1[[#This Row],[Id Impression]],Férier)-1,0)</f>
        <v>43124</v>
      </c>
      <c r="L150" s="9">
        <v>90</v>
      </c>
      <c r="M150" s="66"/>
      <c r="N150" s="66"/>
      <c r="O150" s="66"/>
      <c r="P150" s="66"/>
      <c r="Q150" s="66"/>
    </row>
    <row r="151" spans="1:17" ht="12.9" customHeight="1" x14ac:dyDescent="0.55000000000000004">
      <c r="A151" s="10" t="s">
        <v>115</v>
      </c>
      <c r="B151" s="10" t="s">
        <v>116</v>
      </c>
      <c r="C151" s="10" t="s">
        <v>144</v>
      </c>
      <c r="D151" s="5">
        <v>1</v>
      </c>
      <c r="E151" s="5">
        <v>1</v>
      </c>
      <c r="F151" s="11">
        <v>8.0555555555555561E-2</v>
      </c>
      <c r="G151" s="7">
        <f t="shared" si="11"/>
        <v>8.0555555555555561E-2</v>
      </c>
      <c r="H151" s="4">
        <v>18.239999999999998</v>
      </c>
      <c r="I151" s="7">
        <f t="shared" si="12"/>
        <v>8.0555555555555561E-2</v>
      </c>
      <c r="J151" s="8">
        <f t="shared" si="13"/>
        <v>18.239999999999998</v>
      </c>
      <c r="K151" s="86">
        <f>IF(Tableau1[[#This Row],[Id Impression]]&lt;&gt;0,WORKDAY(stats!$L$2,Tableau1[[#This Row],[Id Impression]],Férier)-1,0)</f>
        <v>43125</v>
      </c>
      <c r="L151" s="9">
        <v>91</v>
      </c>
      <c r="M151" s="66"/>
      <c r="N151" s="66"/>
      <c r="O151" s="66"/>
      <c r="P151" s="66"/>
      <c r="Q151" s="66"/>
    </row>
    <row r="152" spans="1:17" ht="12.9" customHeight="1" x14ac:dyDescent="0.55000000000000004">
      <c r="A152" s="10" t="s">
        <v>115</v>
      </c>
      <c r="B152" s="10" t="s">
        <v>124</v>
      </c>
      <c r="C152" s="4" t="s">
        <v>143</v>
      </c>
      <c r="D152" s="5">
        <v>1</v>
      </c>
      <c r="E152" s="5">
        <v>1</v>
      </c>
      <c r="F152" s="6">
        <v>8.0555555555555561E-2</v>
      </c>
      <c r="G152" s="7">
        <f t="shared" si="11"/>
        <v>8.0555555555555561E-2</v>
      </c>
      <c r="H152" s="4">
        <v>25.46</v>
      </c>
      <c r="I152" s="7">
        <f t="shared" si="12"/>
        <v>8.0555555555555561E-2</v>
      </c>
      <c r="J152" s="8">
        <f t="shared" si="13"/>
        <v>25.46</v>
      </c>
      <c r="K152" s="86">
        <f>IF(Tableau1[[#This Row],[Id Impression]]&lt;&gt;0,WORKDAY(stats!$L$2,Tableau1[[#This Row],[Id Impression]],Férier)-1,0)</f>
        <v>43125</v>
      </c>
      <c r="L152" s="9">
        <v>91</v>
      </c>
      <c r="M152" s="66"/>
      <c r="N152" s="66"/>
      <c r="O152" s="66"/>
      <c r="P152" s="66"/>
      <c r="Q152" s="66"/>
    </row>
    <row r="153" spans="1:17" ht="12.9" customHeight="1" x14ac:dyDescent="0.55000000000000004">
      <c r="A153" s="10" t="s">
        <v>115</v>
      </c>
      <c r="B153" s="10" t="s">
        <v>116</v>
      </c>
      <c r="C153" s="10" t="s">
        <v>117</v>
      </c>
      <c r="D153" s="5">
        <v>1</v>
      </c>
      <c r="E153" s="5">
        <v>1</v>
      </c>
      <c r="F153" s="11">
        <v>4.8611111111111112E-3</v>
      </c>
      <c r="G153" s="7">
        <f t="shared" si="11"/>
        <v>4.8611111111111112E-3</v>
      </c>
      <c r="H153" s="4">
        <v>0.95</v>
      </c>
      <c r="I153" s="7">
        <f t="shared" si="12"/>
        <v>4.8611111111111112E-3</v>
      </c>
      <c r="J153" s="8">
        <f t="shared" si="13"/>
        <v>0.95</v>
      </c>
      <c r="K153" s="86">
        <f>IF(Tableau1[[#This Row],[Id Impression]]&lt;&gt;0,WORKDAY(stats!$L$2,Tableau1[[#This Row],[Id Impression]],Férier)-1,0)</f>
        <v>43128</v>
      </c>
      <c r="L153" s="9">
        <v>92</v>
      </c>
      <c r="M153" s="66"/>
      <c r="N153" s="66"/>
      <c r="O153" s="66"/>
      <c r="P153" s="66"/>
      <c r="Q153" s="66"/>
    </row>
    <row r="154" spans="1:17" ht="12.9" customHeight="1" x14ac:dyDescent="0.55000000000000004">
      <c r="A154" s="10" t="s">
        <v>115</v>
      </c>
      <c r="B154" s="10" t="s">
        <v>116</v>
      </c>
      <c r="C154" s="4" t="s">
        <v>118</v>
      </c>
      <c r="D154" s="5">
        <v>1</v>
      </c>
      <c r="E154" s="5">
        <v>1</v>
      </c>
      <c r="F154" s="6">
        <v>7.6388888888888886E-3</v>
      </c>
      <c r="G154" s="7">
        <f t="shared" si="11"/>
        <v>7.6388888888888886E-3</v>
      </c>
      <c r="H154" s="4">
        <v>2.4</v>
      </c>
      <c r="I154" s="7">
        <f t="shared" si="12"/>
        <v>7.6388888888888886E-3</v>
      </c>
      <c r="J154" s="8">
        <f t="shared" si="13"/>
        <v>2.4</v>
      </c>
      <c r="K154" s="86">
        <f>IF(Tableau1[[#This Row],[Id Impression]]&lt;&gt;0,WORKDAY(stats!$L$2,Tableau1[[#This Row],[Id Impression]],Férier)-1,0)</f>
        <v>43128</v>
      </c>
      <c r="L154" s="9">
        <v>92</v>
      </c>
      <c r="M154" s="66"/>
      <c r="N154" s="66"/>
      <c r="O154" s="66"/>
      <c r="P154" s="66"/>
      <c r="Q154" s="66"/>
    </row>
    <row r="155" spans="1:17" ht="12.9" customHeight="1" x14ac:dyDescent="0.55000000000000004">
      <c r="A155" s="10" t="s">
        <v>115</v>
      </c>
      <c r="B155" s="10" t="s">
        <v>116</v>
      </c>
      <c r="C155" s="4" t="s">
        <v>119</v>
      </c>
      <c r="D155" s="5">
        <v>1</v>
      </c>
      <c r="E155" s="5">
        <v>1</v>
      </c>
      <c r="F155" s="6">
        <v>1.3888888888888888E-2</v>
      </c>
      <c r="G155" s="7">
        <f t="shared" si="11"/>
        <v>1.3888888888888888E-2</v>
      </c>
      <c r="H155" s="4">
        <v>3.7</v>
      </c>
      <c r="I155" s="7">
        <f t="shared" si="12"/>
        <v>1.3888888888888888E-2</v>
      </c>
      <c r="J155" s="8">
        <f t="shared" si="13"/>
        <v>3.7</v>
      </c>
      <c r="K155" s="86">
        <f>IF(Tableau1[[#This Row],[Id Impression]]&lt;&gt;0,WORKDAY(stats!$L$2,Tableau1[[#This Row],[Id Impression]],Férier)-1,0)</f>
        <v>43128</v>
      </c>
      <c r="L155" s="9">
        <v>92</v>
      </c>
      <c r="M155" s="66"/>
      <c r="N155" s="66"/>
      <c r="O155" s="66"/>
      <c r="P155" s="66"/>
      <c r="Q155" s="66"/>
    </row>
    <row r="156" spans="1:17" ht="12.9" customHeight="1" x14ac:dyDescent="0.55000000000000004">
      <c r="A156" s="10" t="s">
        <v>115</v>
      </c>
      <c r="B156" s="10" t="s">
        <v>121</v>
      </c>
      <c r="C156" s="4" t="s">
        <v>141</v>
      </c>
      <c r="D156" s="5">
        <v>1</v>
      </c>
      <c r="E156" s="5">
        <v>1</v>
      </c>
      <c r="F156" s="6">
        <v>8.1250000000000003E-2</v>
      </c>
      <c r="G156" s="7">
        <f t="shared" si="11"/>
        <v>8.1250000000000003E-2</v>
      </c>
      <c r="H156" s="4">
        <v>20.76</v>
      </c>
      <c r="I156" s="7">
        <f t="shared" si="12"/>
        <v>8.1250000000000003E-2</v>
      </c>
      <c r="J156" s="8">
        <f t="shared" si="13"/>
        <v>20.76</v>
      </c>
      <c r="K156" s="86">
        <f>IF(Tableau1[[#This Row],[Id Impression]]&lt;&gt;0,WORKDAY(stats!$L$2,Tableau1[[#This Row],[Id Impression]],Férier)-1,0)</f>
        <v>43128</v>
      </c>
      <c r="L156" s="9">
        <v>92</v>
      </c>
      <c r="M156" s="66"/>
      <c r="N156" s="66"/>
      <c r="O156" s="66"/>
      <c r="P156" s="66"/>
      <c r="Q156" s="66"/>
    </row>
    <row r="157" spans="1:17" ht="12.9" customHeight="1" x14ac:dyDescent="0.55000000000000004">
      <c r="A157" s="10" t="s">
        <v>115</v>
      </c>
      <c r="B157" s="10" t="s">
        <v>116</v>
      </c>
      <c r="C157" s="4" t="s">
        <v>120</v>
      </c>
      <c r="D157" s="5">
        <v>1</v>
      </c>
      <c r="E157" s="5">
        <v>1</v>
      </c>
      <c r="F157" s="6">
        <v>1.3888888888888888E-2</v>
      </c>
      <c r="G157" s="7">
        <f t="shared" si="11"/>
        <v>1.3888888888888888E-2</v>
      </c>
      <c r="H157" s="4">
        <v>3.68</v>
      </c>
      <c r="I157" s="7">
        <f t="shared" si="12"/>
        <v>1.3888888888888888E-2</v>
      </c>
      <c r="J157" s="8">
        <f t="shared" si="13"/>
        <v>3.68</v>
      </c>
      <c r="K157" s="86">
        <f>IF(Tableau1[[#This Row],[Id Impression]]&lt;&gt;0,WORKDAY(stats!$L$2,Tableau1[[#This Row],[Id Impression]],Férier)-1,0)</f>
        <v>43129</v>
      </c>
      <c r="L157" s="9">
        <v>93</v>
      </c>
      <c r="M157" s="66"/>
      <c r="N157" s="66"/>
      <c r="O157" s="66"/>
      <c r="P157" s="66"/>
      <c r="Q157" s="66"/>
    </row>
    <row r="158" spans="1:17" ht="12.9" customHeight="1" x14ac:dyDescent="0.55000000000000004">
      <c r="A158" s="10" t="s">
        <v>115</v>
      </c>
      <c r="B158" s="10" t="s">
        <v>116</v>
      </c>
      <c r="C158" s="4" t="s">
        <v>123</v>
      </c>
      <c r="D158" s="5">
        <v>2</v>
      </c>
      <c r="E158" s="5">
        <v>2</v>
      </c>
      <c r="F158" s="6">
        <v>1.0416666666666666E-2</v>
      </c>
      <c r="G158" s="7">
        <f t="shared" si="11"/>
        <v>1.0416666666666666E-2</v>
      </c>
      <c r="H158" s="4">
        <v>2.88</v>
      </c>
      <c r="I158" s="7">
        <f t="shared" si="12"/>
        <v>2.0833333333333332E-2</v>
      </c>
      <c r="J158" s="8">
        <f t="shared" si="13"/>
        <v>5.76</v>
      </c>
      <c r="K158" s="86">
        <f>IF(Tableau1[[#This Row],[Id Impression]]&lt;&gt;0,WORKDAY(stats!$L$2,Tableau1[[#This Row],[Id Impression]],Férier)-1,0)</f>
        <v>43129</v>
      </c>
      <c r="L158" s="9">
        <v>93</v>
      </c>
      <c r="M158" s="66"/>
      <c r="N158" s="66"/>
      <c r="O158" s="66"/>
      <c r="P158" s="66"/>
      <c r="Q158" s="66"/>
    </row>
    <row r="159" spans="1:17" ht="12.9" customHeight="1" x14ac:dyDescent="0.55000000000000004">
      <c r="A159" s="10" t="s">
        <v>115</v>
      </c>
      <c r="B159" s="10" t="s">
        <v>116</v>
      </c>
      <c r="C159" s="10" t="s">
        <v>139</v>
      </c>
      <c r="D159" s="5">
        <v>1</v>
      </c>
      <c r="E159" s="5">
        <v>1</v>
      </c>
      <c r="F159" s="11">
        <v>3.4027777777777775E-2</v>
      </c>
      <c r="G159" s="7">
        <f t="shared" si="11"/>
        <v>3.4027777777777775E-2</v>
      </c>
      <c r="H159" s="4">
        <v>5.74</v>
      </c>
      <c r="I159" s="7">
        <f t="shared" si="12"/>
        <v>3.4027777777777775E-2</v>
      </c>
      <c r="J159" s="8">
        <f t="shared" si="13"/>
        <v>5.74</v>
      </c>
      <c r="K159" s="86">
        <f>IF(Tableau1[[#This Row],[Id Impression]]&lt;&gt;0,WORKDAY(stats!$L$2,Tableau1[[#This Row],[Id Impression]],Férier)-1,0)</f>
        <v>43129</v>
      </c>
      <c r="L159" s="9">
        <v>93</v>
      </c>
      <c r="M159" s="66"/>
      <c r="N159" s="66"/>
      <c r="O159" s="66"/>
      <c r="P159" s="66"/>
      <c r="Q159" s="66"/>
    </row>
    <row r="160" spans="1:17" ht="12.9" customHeight="1" x14ac:dyDescent="0.55000000000000004">
      <c r="A160" s="10" t="s">
        <v>115</v>
      </c>
      <c r="B160" s="10" t="s">
        <v>116</v>
      </c>
      <c r="C160" s="4" t="s">
        <v>142</v>
      </c>
      <c r="D160" s="5">
        <v>1</v>
      </c>
      <c r="E160" s="5">
        <v>1</v>
      </c>
      <c r="F160" s="6">
        <v>9.1666666666666674E-2</v>
      </c>
      <c r="G160" s="7">
        <f t="shared" si="11"/>
        <v>9.1666666666666674E-2</v>
      </c>
      <c r="H160" s="4">
        <v>21.23</v>
      </c>
      <c r="I160" s="7">
        <f t="shared" si="12"/>
        <v>9.1666666666666674E-2</v>
      </c>
      <c r="J160" s="8">
        <f t="shared" si="13"/>
        <v>21.23</v>
      </c>
      <c r="K160" s="86">
        <f>IF(Tableau1[[#This Row],[Id Impression]]&lt;&gt;0,WORKDAY(stats!$L$2,Tableau1[[#This Row],[Id Impression]],Férier)-1,0)</f>
        <v>43129</v>
      </c>
      <c r="L160" s="9">
        <v>93</v>
      </c>
      <c r="M160" s="66"/>
      <c r="N160" s="66"/>
      <c r="O160" s="66"/>
      <c r="P160" s="66"/>
      <c r="Q160" s="66"/>
    </row>
    <row r="161" spans="1:17" ht="12.9" customHeight="1" x14ac:dyDescent="0.55000000000000004">
      <c r="A161" s="10" t="s">
        <v>115</v>
      </c>
      <c r="B161" s="10" t="s">
        <v>121</v>
      </c>
      <c r="C161" s="4" t="s">
        <v>122</v>
      </c>
      <c r="D161" s="5">
        <v>1</v>
      </c>
      <c r="E161" s="5">
        <v>1</v>
      </c>
      <c r="F161" s="6">
        <v>1.6666666666666666E-2</v>
      </c>
      <c r="G161" s="7">
        <f t="shared" si="11"/>
        <v>1.6666666666666666E-2</v>
      </c>
      <c r="H161" s="4">
        <v>4.22</v>
      </c>
      <c r="I161" s="7">
        <f t="shared" si="12"/>
        <v>1.6666666666666666E-2</v>
      </c>
      <c r="J161" s="8">
        <f t="shared" si="13"/>
        <v>4.22</v>
      </c>
      <c r="K161" s="86">
        <f>IF(Tableau1[[#This Row],[Id Impression]]&lt;&gt;0,WORKDAY(stats!$L$2,Tableau1[[#This Row],[Id Impression]],Férier)-1,0)</f>
        <v>43129</v>
      </c>
      <c r="L161" s="9">
        <v>93</v>
      </c>
      <c r="M161" s="66"/>
      <c r="N161" s="66"/>
      <c r="O161" s="66"/>
      <c r="P161" s="66"/>
      <c r="Q161" s="66"/>
    </row>
    <row r="162" spans="1:17" ht="12.9" customHeight="1" x14ac:dyDescent="0.55000000000000004">
      <c r="A162" s="10" t="s">
        <v>115</v>
      </c>
      <c r="B162" s="10" t="s">
        <v>121</v>
      </c>
      <c r="C162" s="4" t="s">
        <v>128</v>
      </c>
      <c r="D162" s="5">
        <v>1</v>
      </c>
      <c r="E162" s="5">
        <v>1</v>
      </c>
      <c r="F162" s="6">
        <v>0.17222222222222225</v>
      </c>
      <c r="G162" s="7">
        <f t="shared" si="11"/>
        <v>0.17222222222222225</v>
      </c>
      <c r="H162" s="4">
        <v>36.479999999999997</v>
      </c>
      <c r="I162" s="7">
        <f t="shared" si="12"/>
        <v>0.17222222222222225</v>
      </c>
      <c r="J162" s="8">
        <f t="shared" si="13"/>
        <v>36.479999999999997</v>
      </c>
      <c r="K162" s="86">
        <f>IF(Tableau1[[#This Row],[Id Impression]]&lt;&gt;0,WORKDAY(stats!$L$2,Tableau1[[#This Row],[Id Impression]],Férier)-1,0)</f>
        <v>43130</v>
      </c>
      <c r="L162" s="9">
        <v>94</v>
      </c>
      <c r="M162" s="66"/>
      <c r="N162" s="66"/>
      <c r="O162" s="66"/>
      <c r="P162" s="66"/>
      <c r="Q162" s="66"/>
    </row>
    <row r="163" spans="1:17" ht="12.9" customHeight="1" x14ac:dyDescent="0.55000000000000004">
      <c r="A163" s="10" t="s">
        <v>115</v>
      </c>
      <c r="B163" s="10" t="s">
        <v>121</v>
      </c>
      <c r="C163" s="4" t="s">
        <v>129</v>
      </c>
      <c r="D163" s="5">
        <v>1</v>
      </c>
      <c r="E163" s="5">
        <v>1</v>
      </c>
      <c r="F163" s="6">
        <v>0.17222222222222225</v>
      </c>
      <c r="G163" s="7">
        <f t="shared" si="11"/>
        <v>0.17222222222222225</v>
      </c>
      <c r="H163" s="4">
        <v>36.479999999999997</v>
      </c>
      <c r="I163" s="7">
        <f t="shared" si="12"/>
        <v>0.17222222222222225</v>
      </c>
      <c r="J163" s="8">
        <f t="shared" si="13"/>
        <v>36.479999999999997</v>
      </c>
      <c r="K163" s="86">
        <f>IF(Tableau1[[#This Row],[Id Impression]]&lt;&gt;0,WORKDAY(stats!$L$2,Tableau1[[#This Row],[Id Impression]],Férier)-1,0)</f>
        <v>43131</v>
      </c>
      <c r="L163" s="9">
        <v>95</v>
      </c>
      <c r="M163" s="66"/>
      <c r="N163" s="66"/>
      <c r="O163" s="66"/>
      <c r="P163" s="66"/>
      <c r="Q163" s="66"/>
    </row>
    <row r="164" spans="1:17" ht="12.9" customHeight="1" x14ac:dyDescent="0.55000000000000004">
      <c r="A164" s="10" t="s">
        <v>115</v>
      </c>
      <c r="B164" s="10" t="s">
        <v>121</v>
      </c>
      <c r="C164" s="4" t="s">
        <v>130</v>
      </c>
      <c r="D164" s="5">
        <v>1</v>
      </c>
      <c r="E164" s="5">
        <v>1</v>
      </c>
      <c r="F164" s="6">
        <v>0.17430555555555557</v>
      </c>
      <c r="G164" s="7">
        <f t="shared" si="11"/>
        <v>0.17430555555555557</v>
      </c>
      <c r="H164" s="4">
        <v>43.71</v>
      </c>
      <c r="I164" s="7">
        <f t="shared" si="12"/>
        <v>0.17430555555555557</v>
      </c>
      <c r="J164" s="8">
        <f t="shared" si="13"/>
        <v>43.71</v>
      </c>
      <c r="K164" s="86">
        <f>IF(Tableau1[[#This Row],[Id Impression]]&lt;&gt;0,WORKDAY(stats!$L$2,Tableau1[[#This Row],[Id Impression]],Férier)-1,0)</f>
        <v>43132</v>
      </c>
      <c r="L164" s="9">
        <v>96</v>
      </c>
      <c r="M164" s="66"/>
      <c r="N164" s="66"/>
      <c r="O164" s="66"/>
      <c r="P164" s="66"/>
      <c r="Q164" s="66"/>
    </row>
    <row r="165" spans="1:17" ht="12.9" customHeight="1" x14ac:dyDescent="0.55000000000000004">
      <c r="A165" s="10" t="s">
        <v>115</v>
      </c>
      <c r="B165" s="10" t="s">
        <v>121</v>
      </c>
      <c r="C165" s="4" t="s">
        <v>131</v>
      </c>
      <c r="D165" s="5">
        <v>1</v>
      </c>
      <c r="E165" s="5">
        <v>1</v>
      </c>
      <c r="F165" s="6">
        <v>0.17430555555555557</v>
      </c>
      <c r="G165" s="7">
        <f t="shared" si="11"/>
        <v>0.17430555555555557</v>
      </c>
      <c r="H165" s="4">
        <v>43.71</v>
      </c>
      <c r="I165" s="7">
        <f t="shared" si="12"/>
        <v>0.17430555555555557</v>
      </c>
      <c r="J165" s="8">
        <f t="shared" si="13"/>
        <v>43.71</v>
      </c>
      <c r="K165" s="86">
        <f>IF(Tableau1[[#This Row],[Id Impression]]&lt;&gt;0,WORKDAY(stats!$L$2,Tableau1[[#This Row],[Id Impression]],Férier)-1,0)</f>
        <v>43135</v>
      </c>
      <c r="L165" s="9">
        <v>97</v>
      </c>
      <c r="M165" s="66"/>
      <c r="N165" s="66"/>
      <c r="O165" s="66"/>
      <c r="P165" s="66"/>
      <c r="Q165" s="66"/>
    </row>
    <row r="166" spans="1:17" ht="12.9" customHeight="1" x14ac:dyDescent="0.55000000000000004">
      <c r="A166" s="10" t="s">
        <v>115</v>
      </c>
      <c r="B166" s="10" t="s">
        <v>121</v>
      </c>
      <c r="C166" s="4" t="s">
        <v>134</v>
      </c>
      <c r="D166" s="5">
        <v>1</v>
      </c>
      <c r="E166" s="5">
        <v>1</v>
      </c>
      <c r="F166" s="6">
        <v>0.24444444444444446</v>
      </c>
      <c r="G166" s="7">
        <f t="shared" si="11"/>
        <v>0.24444444444444446</v>
      </c>
      <c r="H166" s="4">
        <v>46.81</v>
      </c>
      <c r="I166" s="7">
        <f t="shared" si="12"/>
        <v>0.24444444444444446</v>
      </c>
      <c r="J166" s="8">
        <f t="shared" si="13"/>
        <v>46.81</v>
      </c>
      <c r="K166" s="86">
        <f>IF(Tableau1[[#This Row],[Id Impression]]&lt;&gt;0,WORKDAY(stats!$L$2,Tableau1[[#This Row],[Id Impression]],Férier)-1,0)</f>
        <v>43136</v>
      </c>
      <c r="L166" s="9">
        <v>98</v>
      </c>
      <c r="M166" s="66"/>
      <c r="N166" s="66"/>
      <c r="O166" s="66"/>
      <c r="P166" s="66"/>
      <c r="Q166" s="66"/>
    </row>
    <row r="167" spans="1:17" ht="12.9" customHeight="1" x14ac:dyDescent="0.55000000000000004">
      <c r="A167" s="10" t="s">
        <v>115</v>
      </c>
      <c r="B167" s="10" t="s">
        <v>121</v>
      </c>
      <c r="C167" s="10" t="s">
        <v>135</v>
      </c>
      <c r="D167" s="5">
        <v>1</v>
      </c>
      <c r="E167" s="5">
        <v>1</v>
      </c>
      <c r="F167" s="11">
        <v>0.27847222222222223</v>
      </c>
      <c r="G167" s="7">
        <f t="shared" si="11"/>
        <v>0.27847222222222223</v>
      </c>
      <c r="H167" s="4">
        <v>55.85</v>
      </c>
      <c r="I167" s="7">
        <f t="shared" si="12"/>
        <v>0.27847222222222223</v>
      </c>
      <c r="J167" s="8">
        <f t="shared" si="13"/>
        <v>55.85</v>
      </c>
      <c r="K167" s="86">
        <f>IF(Tableau1[[#This Row],[Id Impression]]&lt;&gt;0,WORKDAY(stats!$L$2,Tableau1[[#This Row],[Id Impression]],Férier)-1,0)</f>
        <v>43137</v>
      </c>
      <c r="L167" s="9">
        <v>99</v>
      </c>
      <c r="M167" s="66"/>
      <c r="N167" s="66"/>
      <c r="O167" s="66"/>
      <c r="P167" s="66"/>
      <c r="Q167" s="66"/>
    </row>
    <row r="168" spans="1:17" ht="12.9" customHeight="1" x14ac:dyDescent="0.55000000000000004">
      <c r="A168" s="10" t="s">
        <v>115</v>
      </c>
      <c r="B168" s="10" t="s">
        <v>121</v>
      </c>
      <c r="C168" s="10" t="s">
        <v>136</v>
      </c>
      <c r="D168" s="5">
        <v>1</v>
      </c>
      <c r="E168" s="5">
        <v>1</v>
      </c>
      <c r="F168" s="11">
        <v>0.27916666666666667</v>
      </c>
      <c r="G168" s="7">
        <f t="shared" ref="G168:G169" si="14">F168</f>
        <v>0.27916666666666667</v>
      </c>
      <c r="H168" s="4">
        <v>55.26</v>
      </c>
      <c r="I168" s="7">
        <f t="shared" si="12"/>
        <v>0.27916666666666667</v>
      </c>
      <c r="J168" s="8">
        <f t="shared" si="13"/>
        <v>55.26</v>
      </c>
      <c r="K168" s="86">
        <f>IF(Tableau1[[#This Row],[Id Impression]]&lt;&gt;0,WORKDAY(stats!$L$2,Tableau1[[#This Row],[Id Impression]],Férier)-1,0)</f>
        <v>43138</v>
      </c>
      <c r="L168" s="9">
        <v>100</v>
      </c>
      <c r="M168" s="66"/>
      <c r="N168" s="66"/>
      <c r="O168" s="66"/>
      <c r="P168" s="66"/>
      <c r="Q168" s="66"/>
    </row>
    <row r="169" spans="1:17" ht="12.9" customHeight="1" x14ac:dyDescent="0.55000000000000004">
      <c r="A169" s="10" t="s">
        <v>15</v>
      </c>
      <c r="B169" s="10" t="s">
        <v>189</v>
      </c>
      <c r="C169" s="4" t="s">
        <v>190</v>
      </c>
      <c r="D169" s="4">
        <v>0</v>
      </c>
      <c r="E169" s="4">
        <v>0</v>
      </c>
      <c r="F169" s="6">
        <v>0.28333333333333333</v>
      </c>
      <c r="G169" s="7">
        <f t="shared" si="14"/>
        <v>0.28333333333333333</v>
      </c>
      <c r="H169" s="4">
        <v>57.83</v>
      </c>
      <c r="I169" s="7">
        <f t="shared" si="12"/>
        <v>0</v>
      </c>
      <c r="J169" s="8">
        <f t="shared" si="13"/>
        <v>0</v>
      </c>
      <c r="K169" s="86">
        <f>IF(Tableau1[[#This Row],[Id Impression]]&lt;&gt;0,WORKDAY(stats!$L$2,Tableau1[[#This Row],[Id Impression]],Férier)-1,0)</f>
        <v>0</v>
      </c>
      <c r="L169" s="9"/>
      <c r="M169" s="66"/>
      <c r="N169" s="66"/>
      <c r="O169" s="66"/>
      <c r="P169" s="66"/>
      <c r="Q169" s="66"/>
    </row>
    <row r="170" spans="1:17" ht="12.9" customHeight="1" x14ac:dyDescent="0.55000000000000004">
      <c r="A170" s="10" t="s">
        <v>115</v>
      </c>
      <c r="B170" s="10" t="s">
        <v>121</v>
      </c>
      <c r="C170" s="23" t="s">
        <v>191</v>
      </c>
      <c r="D170" s="5">
        <v>0</v>
      </c>
      <c r="E170" s="5">
        <v>0</v>
      </c>
      <c r="F170" s="11">
        <v>0.15347222222222223</v>
      </c>
      <c r="G170" s="10"/>
      <c r="H170" s="10">
        <v>39.68</v>
      </c>
      <c r="I170" s="7">
        <f t="shared" si="12"/>
        <v>0</v>
      </c>
      <c r="J170" s="8">
        <f t="shared" si="13"/>
        <v>0</v>
      </c>
      <c r="K170" s="86">
        <f>IF(Tableau1[[#This Row],[Id Impression]]&lt;&gt;0,WORKDAY(stats!$L$2,Tableau1[[#This Row],[Id Impression]],Férier)-1,0)</f>
        <v>0</v>
      </c>
      <c r="L170" s="9"/>
      <c r="M170" s="66"/>
      <c r="N170" s="66"/>
      <c r="O170" s="66"/>
      <c r="P170" s="66"/>
      <c r="Q170" s="66"/>
    </row>
    <row r="171" spans="1:17" ht="12.9" customHeight="1" x14ac:dyDescent="0.55000000000000004">
      <c r="A171" s="10" t="s">
        <v>115</v>
      </c>
      <c r="B171" s="10" t="s">
        <v>121</v>
      </c>
      <c r="C171" s="24" t="s">
        <v>192</v>
      </c>
      <c r="D171" s="5">
        <v>0</v>
      </c>
      <c r="E171" s="5">
        <v>0</v>
      </c>
      <c r="F171" s="6">
        <v>0.15347222222222223</v>
      </c>
      <c r="G171" s="7"/>
      <c r="H171" s="4">
        <v>39.659999999999997</v>
      </c>
      <c r="I171" s="7">
        <f t="shared" si="12"/>
        <v>0</v>
      </c>
      <c r="J171" s="8">
        <f t="shared" si="13"/>
        <v>0</v>
      </c>
      <c r="K171" s="86">
        <f>IF(Tableau1[[#This Row],[Id Impression]]&lt;&gt;0,WORKDAY(stats!$L$2,Tableau1[[#This Row],[Id Impression]],Férier)-1,0)</f>
        <v>0</v>
      </c>
      <c r="L171" s="9"/>
      <c r="M171" s="66"/>
      <c r="N171" s="66"/>
      <c r="O171" s="66"/>
      <c r="P171" s="66"/>
      <c r="Q171" s="66"/>
    </row>
    <row r="172" spans="1:17" ht="12.9" customHeight="1" x14ac:dyDescent="0.55000000000000004">
      <c r="A172" s="10" t="s">
        <v>115</v>
      </c>
      <c r="B172" s="10" t="s">
        <v>116</v>
      </c>
      <c r="C172" s="4" t="s">
        <v>193</v>
      </c>
      <c r="D172" s="5">
        <v>0</v>
      </c>
      <c r="E172" s="5">
        <v>0</v>
      </c>
      <c r="F172" s="6">
        <v>3.7499999999999999E-2</v>
      </c>
      <c r="G172" s="7">
        <f t="shared" ref="G172:G203" si="15">F172</f>
        <v>3.7499999999999999E-2</v>
      </c>
      <c r="H172" s="4">
        <v>8.51</v>
      </c>
      <c r="I172" s="7">
        <f t="shared" si="12"/>
        <v>0</v>
      </c>
      <c r="J172" s="8">
        <f t="shared" si="13"/>
        <v>0</v>
      </c>
      <c r="K172" s="86">
        <f>IF(Tableau1[[#This Row],[Id Impression]]&lt;&gt;0,WORKDAY(stats!$L$2,Tableau1[[#This Row],[Id Impression]],Férier)-1,0)</f>
        <v>0</v>
      </c>
      <c r="L172" s="9"/>
      <c r="M172" s="66"/>
      <c r="N172" s="66"/>
      <c r="O172" s="66"/>
      <c r="P172" s="66"/>
      <c r="Q172" s="66"/>
    </row>
    <row r="173" spans="1:17" ht="12.9" customHeight="1" x14ac:dyDescent="0.55000000000000004">
      <c r="A173" s="10" t="s">
        <v>115</v>
      </c>
      <c r="B173" s="10" t="s">
        <v>116</v>
      </c>
      <c r="C173" s="4" t="s">
        <v>194</v>
      </c>
      <c r="D173" s="5">
        <v>0</v>
      </c>
      <c r="E173" s="5">
        <v>0</v>
      </c>
      <c r="F173" s="6">
        <v>3.8194444444444441E-2</v>
      </c>
      <c r="G173" s="7">
        <f t="shared" si="15"/>
        <v>3.8194444444444441E-2</v>
      </c>
      <c r="H173" s="4">
        <v>8.48</v>
      </c>
      <c r="I173" s="7">
        <f t="shared" si="12"/>
        <v>0</v>
      </c>
      <c r="J173" s="8">
        <f t="shared" si="13"/>
        <v>0</v>
      </c>
      <c r="K173" s="86">
        <f>IF(Tableau1[[#This Row],[Id Impression]]&lt;&gt;0,WORKDAY(stats!$L$2,Tableau1[[#This Row],[Id Impression]],Férier)-1,0)</f>
        <v>0</v>
      </c>
      <c r="L173" s="9"/>
      <c r="M173" s="66"/>
      <c r="N173" s="66"/>
      <c r="O173" s="66"/>
      <c r="P173" s="66"/>
      <c r="Q173" s="66"/>
    </row>
    <row r="174" spans="1:17" ht="12.9" customHeight="1" x14ac:dyDescent="0.55000000000000004">
      <c r="A174" s="10" t="s">
        <v>115</v>
      </c>
      <c r="B174" s="10" t="s">
        <v>116</v>
      </c>
      <c r="C174" s="4" t="s">
        <v>195</v>
      </c>
      <c r="D174" s="5">
        <v>0</v>
      </c>
      <c r="E174" s="5">
        <v>0</v>
      </c>
      <c r="F174" s="6">
        <v>3.4027777777777775E-2</v>
      </c>
      <c r="G174" s="7">
        <f t="shared" si="15"/>
        <v>3.4027777777777775E-2</v>
      </c>
      <c r="H174" s="4">
        <v>7.81</v>
      </c>
      <c r="I174" s="7">
        <f t="shared" si="12"/>
        <v>0</v>
      </c>
      <c r="J174" s="8">
        <f t="shared" si="13"/>
        <v>0</v>
      </c>
      <c r="K174" s="86">
        <f>IF(Tableau1[[#This Row],[Id Impression]]&lt;&gt;0,WORKDAY(stats!$L$2,Tableau1[[#This Row],[Id Impression]],Férier)-1,0)</f>
        <v>0</v>
      </c>
      <c r="L174" s="9"/>
      <c r="M174" s="66"/>
      <c r="N174" s="66"/>
      <c r="O174" s="66"/>
      <c r="P174" s="66"/>
      <c r="Q174" s="66"/>
    </row>
    <row r="175" spans="1:17" ht="12.9" customHeight="1" x14ac:dyDescent="0.55000000000000004">
      <c r="A175" s="10" t="s">
        <v>115</v>
      </c>
      <c r="B175" s="10" t="s">
        <v>116</v>
      </c>
      <c r="C175" s="4" t="s">
        <v>196</v>
      </c>
      <c r="D175" s="5">
        <v>0</v>
      </c>
      <c r="E175" s="5">
        <v>0</v>
      </c>
      <c r="F175" s="6">
        <v>3.4027777777777775E-2</v>
      </c>
      <c r="G175" s="7">
        <f t="shared" si="15"/>
        <v>3.4027777777777775E-2</v>
      </c>
      <c r="H175" s="4">
        <v>7.81</v>
      </c>
      <c r="I175" s="7">
        <f t="shared" si="12"/>
        <v>0</v>
      </c>
      <c r="J175" s="8">
        <f t="shared" si="13"/>
        <v>0</v>
      </c>
      <c r="K175" s="86">
        <f>IF(Tableau1[[#This Row],[Id Impression]]&lt;&gt;0,WORKDAY(stats!$L$2,Tableau1[[#This Row],[Id Impression]],Férier)-1,0)</f>
        <v>0</v>
      </c>
      <c r="L175" s="9"/>
      <c r="M175" s="66"/>
      <c r="N175" s="66"/>
      <c r="O175" s="66"/>
      <c r="P175" s="66"/>
      <c r="Q175" s="66"/>
    </row>
    <row r="176" spans="1:17" ht="12.9" customHeight="1" x14ac:dyDescent="0.55000000000000004">
      <c r="A176" s="10" t="s">
        <v>197</v>
      </c>
      <c r="B176" s="10" t="s">
        <v>198</v>
      </c>
      <c r="C176" s="19" t="s">
        <v>199</v>
      </c>
      <c r="D176" s="4">
        <v>1</v>
      </c>
      <c r="E176" s="4">
        <v>0</v>
      </c>
      <c r="F176" s="20">
        <v>0.20069444444444443</v>
      </c>
      <c r="G176" s="22">
        <f t="shared" si="15"/>
        <v>0.20069444444444443</v>
      </c>
      <c r="H176" s="19">
        <v>49.42</v>
      </c>
      <c r="I176" s="7">
        <f t="shared" si="12"/>
        <v>0</v>
      </c>
      <c r="J176" s="8">
        <f t="shared" si="13"/>
        <v>0</v>
      </c>
      <c r="K176" s="86">
        <f>IF(Tableau1[[#This Row],[Id Impression]]&lt;&gt;0,WORKDAY(stats!$L$2,Tableau1[[#This Row],[Id Impression]],Férier)-1,0)</f>
        <v>0</v>
      </c>
      <c r="L176" s="9"/>
      <c r="M176" s="66"/>
      <c r="N176" s="66"/>
      <c r="O176" s="66"/>
      <c r="P176" s="66"/>
      <c r="Q176" s="66"/>
    </row>
    <row r="177" spans="1:17" ht="12.9" customHeight="1" x14ac:dyDescent="0.55000000000000004">
      <c r="A177" s="10" t="s">
        <v>197</v>
      </c>
      <c r="B177" s="10" t="s">
        <v>198</v>
      </c>
      <c r="C177" s="4" t="s">
        <v>200</v>
      </c>
      <c r="D177" s="4">
        <v>1</v>
      </c>
      <c r="E177" s="4">
        <v>0</v>
      </c>
      <c r="F177" s="6">
        <v>9.1666666666666674E-2</v>
      </c>
      <c r="G177" s="7">
        <f t="shared" si="15"/>
        <v>9.1666666666666674E-2</v>
      </c>
      <c r="H177" s="4">
        <v>26.54</v>
      </c>
      <c r="I177" s="7">
        <f t="shared" si="12"/>
        <v>0</v>
      </c>
      <c r="J177" s="8">
        <f t="shared" si="13"/>
        <v>0</v>
      </c>
      <c r="K177" s="86">
        <f>IF(Tableau1[[#This Row],[Id Impression]]&lt;&gt;0,WORKDAY(stats!$L$2,Tableau1[[#This Row],[Id Impression]],Férier)-1,0)</f>
        <v>0</v>
      </c>
      <c r="L177" s="9"/>
      <c r="M177" s="66"/>
      <c r="N177" s="66"/>
      <c r="O177" s="66"/>
      <c r="P177" s="66"/>
      <c r="Q177" s="66"/>
    </row>
    <row r="178" spans="1:17" ht="12.9" customHeight="1" x14ac:dyDescent="0.55000000000000004">
      <c r="A178" s="10" t="s">
        <v>201</v>
      </c>
      <c r="B178" s="10" t="s">
        <v>41</v>
      </c>
      <c r="C178" s="10" t="s">
        <v>202</v>
      </c>
      <c r="D178" s="4">
        <v>1</v>
      </c>
      <c r="E178" s="4">
        <v>0</v>
      </c>
      <c r="F178" s="11">
        <v>2.6388888888888889E-2</v>
      </c>
      <c r="G178" s="7">
        <f t="shared" si="15"/>
        <v>2.6388888888888889E-2</v>
      </c>
      <c r="H178" s="10">
        <v>5.94</v>
      </c>
      <c r="I178" s="7">
        <f t="shared" si="12"/>
        <v>0</v>
      </c>
      <c r="J178" s="8">
        <f t="shared" si="13"/>
        <v>0</v>
      </c>
      <c r="K178" s="86">
        <f>IF(Tableau1[[#This Row],[Id Impression]]&lt;&gt;0,WORKDAY(stats!$L$2,Tableau1[[#This Row],[Id Impression]],Férier)-1,0)</f>
        <v>0</v>
      </c>
      <c r="L178" s="9"/>
      <c r="M178" s="66"/>
      <c r="N178" s="66"/>
      <c r="O178" s="66"/>
      <c r="P178" s="66"/>
      <c r="Q178" s="66"/>
    </row>
    <row r="179" spans="1:17" ht="12.9" customHeight="1" x14ac:dyDescent="0.55000000000000004">
      <c r="A179" s="10" t="s">
        <v>201</v>
      </c>
      <c r="B179" s="10" t="s">
        <v>32</v>
      </c>
      <c r="C179" s="10" t="s">
        <v>203</v>
      </c>
      <c r="D179" s="5">
        <v>1</v>
      </c>
      <c r="E179" s="5">
        <v>0</v>
      </c>
      <c r="F179" s="11">
        <v>2.4999999999999998E-2</v>
      </c>
      <c r="G179" s="7">
        <f t="shared" si="15"/>
        <v>2.4999999999999998E-2</v>
      </c>
      <c r="H179" s="10">
        <v>6.57</v>
      </c>
      <c r="I179" s="7">
        <f t="shared" si="12"/>
        <v>0</v>
      </c>
      <c r="J179" s="8">
        <f t="shared" si="13"/>
        <v>0</v>
      </c>
      <c r="K179" s="86">
        <f>IF(Tableau1[[#This Row],[Id Impression]]&lt;&gt;0,WORKDAY(stats!$L$2,Tableau1[[#This Row],[Id Impression]],Férier)-1,0)</f>
        <v>0</v>
      </c>
      <c r="L179" s="9"/>
      <c r="M179" s="66"/>
      <c r="N179" s="66"/>
      <c r="O179" s="66"/>
      <c r="P179" s="66"/>
      <c r="Q179" s="66"/>
    </row>
    <row r="180" spans="1:17" ht="12.9" customHeight="1" x14ac:dyDescent="0.55000000000000004">
      <c r="A180" s="10" t="s">
        <v>201</v>
      </c>
      <c r="B180" s="10" t="s">
        <v>32</v>
      </c>
      <c r="C180" s="10" t="s">
        <v>204</v>
      </c>
      <c r="D180" s="5">
        <v>1</v>
      </c>
      <c r="E180" s="5">
        <v>0</v>
      </c>
      <c r="F180" s="11">
        <v>4.1666666666666664E-2</v>
      </c>
      <c r="G180" s="7">
        <f t="shared" si="15"/>
        <v>4.1666666666666664E-2</v>
      </c>
      <c r="H180" s="10">
        <v>11.71</v>
      </c>
      <c r="I180" s="7">
        <f t="shared" si="12"/>
        <v>0</v>
      </c>
      <c r="J180" s="8">
        <f t="shared" si="13"/>
        <v>0</v>
      </c>
      <c r="K180" s="86">
        <f>IF(Tableau1[[#This Row],[Id Impression]]&lt;&gt;0,WORKDAY(stats!$L$2,Tableau1[[#This Row],[Id Impression]],Férier)-1,0)</f>
        <v>0</v>
      </c>
      <c r="L180" s="9"/>
      <c r="M180" s="66"/>
      <c r="N180" s="66"/>
      <c r="O180" s="66"/>
      <c r="P180" s="66"/>
      <c r="Q180" s="66"/>
    </row>
    <row r="181" spans="1:17" ht="12.9" customHeight="1" x14ac:dyDescent="0.55000000000000004">
      <c r="A181" s="10" t="s">
        <v>201</v>
      </c>
      <c r="B181" s="10" t="s">
        <v>32</v>
      </c>
      <c r="C181" s="10" t="s">
        <v>205</v>
      </c>
      <c r="D181" s="5">
        <v>1</v>
      </c>
      <c r="E181" s="5">
        <v>0</v>
      </c>
      <c r="F181" s="11">
        <v>0.21111111111111111</v>
      </c>
      <c r="G181" s="7">
        <f t="shared" si="15"/>
        <v>0.21111111111111111</v>
      </c>
      <c r="H181" s="10">
        <v>40.44</v>
      </c>
      <c r="I181" s="7">
        <f t="shared" si="12"/>
        <v>0</v>
      </c>
      <c r="J181" s="8">
        <f t="shared" si="13"/>
        <v>0</v>
      </c>
      <c r="K181" s="86">
        <f>IF(Tableau1[[#This Row],[Id Impression]]&lt;&gt;0,WORKDAY(stats!$L$2,Tableau1[[#This Row],[Id Impression]],Férier)-1,0)</f>
        <v>0</v>
      </c>
      <c r="L181" s="9"/>
      <c r="M181" s="66"/>
      <c r="N181" s="66"/>
      <c r="O181" s="66"/>
      <c r="P181" s="66"/>
      <c r="Q181" s="66"/>
    </row>
    <row r="182" spans="1:17" ht="12.9" customHeight="1" x14ac:dyDescent="0.55000000000000004">
      <c r="A182" s="10" t="s">
        <v>201</v>
      </c>
      <c r="B182" s="10" t="s">
        <v>32</v>
      </c>
      <c r="C182" s="10" t="s">
        <v>206</v>
      </c>
      <c r="D182" s="5">
        <v>1</v>
      </c>
      <c r="E182" s="5">
        <v>0</v>
      </c>
      <c r="F182" s="11">
        <v>0.32291666666666669</v>
      </c>
      <c r="G182" s="7">
        <f t="shared" si="15"/>
        <v>0.32291666666666669</v>
      </c>
      <c r="H182" s="10">
        <v>57.86</v>
      </c>
      <c r="I182" s="7">
        <f t="shared" si="12"/>
        <v>0</v>
      </c>
      <c r="J182" s="8">
        <f t="shared" si="13"/>
        <v>0</v>
      </c>
      <c r="K182" s="86">
        <f>IF(Tableau1[[#This Row],[Id Impression]]&lt;&gt;0,WORKDAY(stats!$L$2,Tableau1[[#This Row],[Id Impression]],Férier)-1,0)</f>
        <v>0</v>
      </c>
      <c r="L182" s="9"/>
      <c r="M182" s="66"/>
      <c r="N182" s="66"/>
      <c r="O182" s="66"/>
      <c r="P182" s="66"/>
      <c r="Q182" s="66"/>
    </row>
    <row r="183" spans="1:17" ht="12.9" customHeight="1" x14ac:dyDescent="0.55000000000000004">
      <c r="A183" s="10" t="s">
        <v>201</v>
      </c>
      <c r="B183" s="10" t="s">
        <v>32</v>
      </c>
      <c r="C183" s="10" t="s">
        <v>207</v>
      </c>
      <c r="D183" s="5">
        <v>1</v>
      </c>
      <c r="E183" s="5">
        <v>0</v>
      </c>
      <c r="F183" s="6">
        <v>0.17847222222222223</v>
      </c>
      <c r="G183" s="7">
        <f t="shared" si="15"/>
        <v>0.17847222222222223</v>
      </c>
      <c r="H183" s="4">
        <v>40.049999999999997</v>
      </c>
      <c r="I183" s="7">
        <f t="shared" si="12"/>
        <v>0</v>
      </c>
      <c r="J183" s="8">
        <f t="shared" si="13"/>
        <v>0</v>
      </c>
      <c r="K183" s="86">
        <f>IF(Tableau1[[#This Row],[Id Impression]]&lt;&gt;0,WORKDAY(stats!$L$2,Tableau1[[#This Row],[Id Impression]],Férier)-1,0)</f>
        <v>0</v>
      </c>
      <c r="L183" s="9"/>
      <c r="M183" s="66"/>
      <c r="N183" s="66"/>
      <c r="O183" s="66"/>
      <c r="P183" s="66"/>
      <c r="Q183" s="66"/>
    </row>
    <row r="184" spans="1:17" ht="12.9" customHeight="1" x14ac:dyDescent="0.55000000000000004">
      <c r="A184" s="10" t="s">
        <v>201</v>
      </c>
      <c r="B184" s="10" t="s">
        <v>41</v>
      </c>
      <c r="C184" s="4" t="s">
        <v>208</v>
      </c>
      <c r="D184" s="5">
        <v>1</v>
      </c>
      <c r="E184" s="5">
        <v>0</v>
      </c>
      <c r="F184" s="6">
        <v>0.19444444444444445</v>
      </c>
      <c r="G184" s="7">
        <f t="shared" si="15"/>
        <v>0.19444444444444445</v>
      </c>
      <c r="H184" s="4">
        <v>37.090000000000003</v>
      </c>
      <c r="I184" s="7">
        <f t="shared" si="12"/>
        <v>0</v>
      </c>
      <c r="J184" s="8">
        <f t="shared" si="13"/>
        <v>0</v>
      </c>
      <c r="K184" s="86">
        <f>IF(Tableau1[[#This Row],[Id Impression]]&lt;&gt;0,WORKDAY(stats!$L$2,Tableau1[[#This Row],[Id Impression]],Férier)-1,0)</f>
        <v>0</v>
      </c>
      <c r="L184" s="9"/>
      <c r="M184" s="66"/>
      <c r="N184" s="66"/>
      <c r="O184" s="66"/>
      <c r="P184" s="66"/>
      <c r="Q184" s="66"/>
    </row>
    <row r="185" spans="1:17" ht="12.9" customHeight="1" x14ac:dyDescent="0.55000000000000004">
      <c r="A185" s="10" t="s">
        <v>201</v>
      </c>
      <c r="B185" s="10" t="s">
        <v>41</v>
      </c>
      <c r="C185" s="4" t="s">
        <v>209</v>
      </c>
      <c r="D185" s="5">
        <v>1</v>
      </c>
      <c r="E185" s="5">
        <v>0</v>
      </c>
      <c r="F185" s="6">
        <v>9.5138888888888884E-2</v>
      </c>
      <c r="G185" s="7">
        <f t="shared" si="15"/>
        <v>9.5138888888888884E-2</v>
      </c>
      <c r="H185" s="4">
        <v>21.27</v>
      </c>
      <c r="I185" s="7">
        <f t="shared" si="12"/>
        <v>0</v>
      </c>
      <c r="J185" s="8">
        <f t="shared" si="13"/>
        <v>0</v>
      </c>
      <c r="K185" s="86">
        <f>IF(Tableau1[[#This Row],[Id Impression]]&lt;&gt;0,WORKDAY(stats!$L$2,Tableau1[[#This Row],[Id Impression]],Férier)-1,0)</f>
        <v>0</v>
      </c>
      <c r="L185" s="9"/>
      <c r="M185" s="66"/>
      <c r="N185" s="66"/>
      <c r="O185" s="66"/>
      <c r="P185" s="66"/>
      <c r="Q185" s="66"/>
    </row>
    <row r="186" spans="1:17" ht="12.9" customHeight="1" x14ac:dyDescent="0.55000000000000004">
      <c r="A186" s="10" t="s">
        <v>201</v>
      </c>
      <c r="B186" s="10" t="s">
        <v>32</v>
      </c>
      <c r="C186" s="10" t="s">
        <v>210</v>
      </c>
      <c r="D186" s="5">
        <v>1</v>
      </c>
      <c r="E186" s="5">
        <v>0</v>
      </c>
      <c r="F186" s="6">
        <v>5.9027777777777783E-2</v>
      </c>
      <c r="G186" s="7">
        <f t="shared" si="15"/>
        <v>5.9027777777777783E-2</v>
      </c>
      <c r="H186" s="4">
        <v>14.32</v>
      </c>
      <c r="I186" s="7">
        <f t="shared" si="12"/>
        <v>0</v>
      </c>
      <c r="J186" s="8">
        <f t="shared" si="13"/>
        <v>0</v>
      </c>
      <c r="K186" s="86">
        <f>IF(Tableau1[[#This Row],[Id Impression]]&lt;&gt;0,WORKDAY(stats!$L$2,Tableau1[[#This Row],[Id Impression]],Férier)-1,0)</f>
        <v>0</v>
      </c>
      <c r="L186" s="9"/>
      <c r="M186" s="66"/>
      <c r="N186" s="66"/>
      <c r="O186" s="66"/>
      <c r="P186" s="66"/>
      <c r="Q186" s="66"/>
    </row>
    <row r="187" spans="1:17" ht="12.9" customHeight="1" x14ac:dyDescent="0.55000000000000004">
      <c r="A187" s="10" t="s">
        <v>211</v>
      </c>
      <c r="B187" s="10" t="s">
        <v>211</v>
      </c>
      <c r="C187" s="3" t="s">
        <v>212</v>
      </c>
      <c r="D187" s="5">
        <v>1</v>
      </c>
      <c r="E187" s="5">
        <v>0</v>
      </c>
      <c r="F187" s="21">
        <v>0.23263888888888887</v>
      </c>
      <c r="G187" s="22">
        <f t="shared" si="15"/>
        <v>0.23263888888888887</v>
      </c>
      <c r="H187" s="3">
        <v>58.02</v>
      </c>
      <c r="I187" s="7">
        <f t="shared" si="12"/>
        <v>0</v>
      </c>
      <c r="J187" s="8">
        <f t="shared" si="13"/>
        <v>0</v>
      </c>
      <c r="K187" s="86">
        <f>IF(Tableau1[[#This Row],[Id Impression]]&lt;&gt;0,WORKDAY(stats!$L$2,Tableau1[[#This Row],[Id Impression]],Férier)-1,0)</f>
        <v>0</v>
      </c>
      <c r="L187" s="9"/>
      <c r="M187" s="66"/>
      <c r="N187" s="66"/>
      <c r="O187" s="66"/>
      <c r="P187" s="66"/>
      <c r="Q187" s="66"/>
    </row>
    <row r="188" spans="1:17" ht="12.9" customHeight="1" x14ac:dyDescent="0.55000000000000004">
      <c r="A188" s="10" t="s">
        <v>211</v>
      </c>
      <c r="B188" s="10" t="s">
        <v>211</v>
      </c>
      <c r="C188" s="10" t="s">
        <v>213</v>
      </c>
      <c r="D188" s="5">
        <v>1</v>
      </c>
      <c r="E188" s="5">
        <v>0</v>
      </c>
      <c r="F188" s="6">
        <v>0.1423611111111111</v>
      </c>
      <c r="G188" s="7">
        <f t="shared" si="15"/>
        <v>0.1423611111111111</v>
      </c>
      <c r="H188" s="4">
        <v>39.94</v>
      </c>
      <c r="I188" s="7">
        <f t="shared" si="12"/>
        <v>0</v>
      </c>
      <c r="J188" s="8">
        <f t="shared" si="13"/>
        <v>0</v>
      </c>
      <c r="K188" s="86">
        <f>IF(Tableau1[[#This Row],[Id Impression]]&lt;&gt;0,WORKDAY(stats!$L$2,Tableau1[[#This Row],[Id Impression]],Férier)-1,0)</f>
        <v>0</v>
      </c>
      <c r="L188" s="9"/>
      <c r="M188" s="66"/>
      <c r="N188" s="66"/>
      <c r="O188" s="66"/>
      <c r="P188" s="66"/>
      <c r="Q188" s="66"/>
    </row>
    <row r="189" spans="1:17" ht="12.9" customHeight="1" x14ac:dyDescent="0.55000000000000004">
      <c r="A189" s="10" t="s">
        <v>211</v>
      </c>
      <c r="B189" s="10" t="s">
        <v>211</v>
      </c>
      <c r="C189" s="10" t="s">
        <v>214</v>
      </c>
      <c r="D189" s="5">
        <v>1</v>
      </c>
      <c r="E189" s="5">
        <v>0</v>
      </c>
      <c r="F189" s="6">
        <v>5.9027777777777783E-2</v>
      </c>
      <c r="G189" s="7">
        <f t="shared" si="15"/>
        <v>5.9027777777777783E-2</v>
      </c>
      <c r="H189" s="4">
        <v>14.89</v>
      </c>
      <c r="I189" s="7">
        <f t="shared" si="12"/>
        <v>0</v>
      </c>
      <c r="J189" s="8">
        <f t="shared" si="13"/>
        <v>0</v>
      </c>
      <c r="K189" s="86">
        <f>IF(Tableau1[[#This Row],[Id Impression]]&lt;&gt;0,WORKDAY(stats!$L$2,Tableau1[[#This Row],[Id Impression]],Férier)-1,0)</f>
        <v>0</v>
      </c>
      <c r="L189" s="9"/>
      <c r="M189" s="66"/>
      <c r="N189" s="66"/>
      <c r="O189" s="66"/>
      <c r="P189" s="66"/>
      <c r="Q189" s="66"/>
    </row>
    <row r="190" spans="1:17" ht="12.9" customHeight="1" x14ac:dyDescent="0.55000000000000004">
      <c r="A190" s="10" t="s">
        <v>211</v>
      </c>
      <c r="B190" s="10" t="s">
        <v>211</v>
      </c>
      <c r="C190" s="10" t="s">
        <v>215</v>
      </c>
      <c r="D190" s="5">
        <v>1</v>
      </c>
      <c r="E190" s="5">
        <v>0</v>
      </c>
      <c r="F190" s="6">
        <v>0.1076388888888889</v>
      </c>
      <c r="G190" s="7">
        <f t="shared" si="15"/>
        <v>0.1076388888888889</v>
      </c>
      <c r="H190" s="4">
        <v>29.71</v>
      </c>
      <c r="I190" s="7">
        <f t="shared" si="12"/>
        <v>0</v>
      </c>
      <c r="J190" s="8">
        <f t="shared" si="13"/>
        <v>0</v>
      </c>
      <c r="K190" s="86">
        <f>IF(Tableau1[[#This Row],[Id Impression]]&lt;&gt;0,WORKDAY(stats!$L$2,Tableau1[[#This Row],[Id Impression]],Férier)-1,0)</f>
        <v>0</v>
      </c>
      <c r="L190" s="9"/>
      <c r="M190" s="66"/>
      <c r="N190" s="66"/>
      <c r="O190" s="66"/>
      <c r="P190" s="66"/>
      <c r="Q190" s="66"/>
    </row>
    <row r="191" spans="1:17" ht="12.9" customHeight="1" x14ac:dyDescent="0.55000000000000004">
      <c r="A191" s="10" t="s">
        <v>216</v>
      </c>
      <c r="B191" s="10" t="s">
        <v>217</v>
      </c>
      <c r="C191" s="4" t="s">
        <v>218</v>
      </c>
      <c r="D191" s="5">
        <v>1</v>
      </c>
      <c r="E191" s="5">
        <v>0</v>
      </c>
      <c r="F191" s="6">
        <v>0.32430555555555557</v>
      </c>
      <c r="G191" s="7">
        <f t="shared" si="15"/>
        <v>0.32430555555555557</v>
      </c>
      <c r="H191" s="4">
        <v>85.92</v>
      </c>
      <c r="I191" s="7">
        <f t="shared" si="12"/>
        <v>0</v>
      </c>
      <c r="J191" s="8">
        <f t="shared" si="13"/>
        <v>0</v>
      </c>
      <c r="K191" s="86">
        <f>IF(Tableau1[[#This Row],[Id Impression]]&lt;&gt;0,WORKDAY(stats!$L$2,Tableau1[[#This Row],[Id Impression]],Férier)-1,0)</f>
        <v>0</v>
      </c>
      <c r="L191" s="9"/>
      <c r="M191" s="66"/>
      <c r="N191" s="66"/>
      <c r="O191" s="66"/>
      <c r="P191" s="66"/>
      <c r="Q191" s="66"/>
    </row>
    <row r="192" spans="1:17" ht="12.9" customHeight="1" x14ac:dyDescent="0.55000000000000004">
      <c r="A192" s="10" t="s">
        <v>216</v>
      </c>
      <c r="B192" s="10" t="s">
        <v>217</v>
      </c>
      <c r="C192" s="4" t="s">
        <v>219</v>
      </c>
      <c r="D192" s="5">
        <v>1</v>
      </c>
      <c r="E192" s="5">
        <v>0</v>
      </c>
      <c r="F192" s="6">
        <v>0.32569444444444445</v>
      </c>
      <c r="G192" s="7">
        <f t="shared" si="15"/>
        <v>0.32569444444444445</v>
      </c>
      <c r="H192" s="4">
        <v>87.72</v>
      </c>
      <c r="I192" s="7">
        <f t="shared" si="12"/>
        <v>0</v>
      </c>
      <c r="J192" s="8">
        <f t="shared" si="13"/>
        <v>0</v>
      </c>
      <c r="K192" s="86">
        <f>IF(Tableau1[[#This Row],[Id Impression]]&lt;&gt;0,WORKDAY(stats!$L$2,Tableau1[[#This Row],[Id Impression]],Férier)-1,0)</f>
        <v>0</v>
      </c>
      <c r="L192" s="9"/>
      <c r="M192" s="66"/>
      <c r="N192" s="66"/>
      <c r="O192" s="66"/>
      <c r="P192" s="66"/>
      <c r="Q192" s="66"/>
    </row>
    <row r="193" spans="1:17" ht="12.9" customHeight="1" x14ac:dyDescent="0.55000000000000004">
      <c r="A193" s="10" t="s">
        <v>216</v>
      </c>
      <c r="B193" s="10" t="s">
        <v>217</v>
      </c>
      <c r="C193" s="4" t="s">
        <v>220</v>
      </c>
      <c r="D193" s="5">
        <v>1</v>
      </c>
      <c r="E193" s="5">
        <v>0</v>
      </c>
      <c r="F193" s="6">
        <v>0.1423611111111111</v>
      </c>
      <c r="G193" s="7">
        <f t="shared" si="15"/>
        <v>0.1423611111111111</v>
      </c>
      <c r="H193" s="4">
        <v>37.08</v>
      </c>
      <c r="I193" s="7">
        <f t="shared" si="12"/>
        <v>0</v>
      </c>
      <c r="J193" s="8">
        <f t="shared" si="13"/>
        <v>0</v>
      </c>
      <c r="K193" s="86">
        <f>IF(Tableau1[[#This Row],[Id Impression]]&lt;&gt;0,WORKDAY(stats!$L$2,Tableau1[[#This Row],[Id Impression]],Férier)-1,0)</f>
        <v>0</v>
      </c>
      <c r="L193" s="9"/>
      <c r="M193" s="66"/>
      <c r="N193" s="66"/>
      <c r="O193" s="66"/>
      <c r="P193" s="66"/>
      <c r="Q193" s="66"/>
    </row>
    <row r="194" spans="1:17" ht="12.9" customHeight="1" x14ac:dyDescent="0.55000000000000004">
      <c r="A194" s="10" t="s">
        <v>216</v>
      </c>
      <c r="B194" s="10" t="s">
        <v>217</v>
      </c>
      <c r="C194" s="4" t="s">
        <v>221</v>
      </c>
      <c r="D194" s="5">
        <v>1</v>
      </c>
      <c r="E194" s="5">
        <v>0</v>
      </c>
      <c r="F194" s="6">
        <v>0.14305555555555557</v>
      </c>
      <c r="G194" s="7">
        <f t="shared" si="15"/>
        <v>0.14305555555555557</v>
      </c>
      <c r="H194" s="4">
        <v>38.119999999999997</v>
      </c>
      <c r="I194" s="7">
        <f t="shared" si="12"/>
        <v>0</v>
      </c>
      <c r="J194" s="8">
        <f t="shared" si="13"/>
        <v>0</v>
      </c>
      <c r="K194" s="86">
        <f>IF(Tableau1[[#This Row],[Id Impression]]&lt;&gt;0,WORKDAY(stats!$L$2,Tableau1[[#This Row],[Id Impression]],Férier)-1,0)</f>
        <v>0</v>
      </c>
      <c r="L194" s="9"/>
      <c r="M194" s="66"/>
      <c r="N194" s="66"/>
      <c r="O194" s="66"/>
      <c r="P194" s="66"/>
      <c r="Q194" s="66"/>
    </row>
    <row r="195" spans="1:17" ht="12.9" customHeight="1" x14ac:dyDescent="0.55000000000000004">
      <c r="A195" s="10" t="s">
        <v>216</v>
      </c>
      <c r="B195" s="10" t="s">
        <v>217</v>
      </c>
      <c r="C195" s="4" t="s">
        <v>222</v>
      </c>
      <c r="D195" s="5">
        <v>1</v>
      </c>
      <c r="E195" s="5">
        <v>0</v>
      </c>
      <c r="F195" s="6">
        <v>0.2902777777777778</v>
      </c>
      <c r="G195" s="7">
        <f t="shared" si="15"/>
        <v>0.2902777777777778</v>
      </c>
      <c r="H195" s="4">
        <v>71.14</v>
      </c>
      <c r="I195" s="7">
        <f t="shared" si="12"/>
        <v>0</v>
      </c>
      <c r="J195" s="8">
        <f t="shared" si="13"/>
        <v>0</v>
      </c>
      <c r="K195" s="86">
        <f>IF(Tableau1[[#This Row],[Id Impression]]&lt;&gt;0,WORKDAY(stats!$L$2,Tableau1[[#This Row],[Id Impression]],Férier)-1,0)</f>
        <v>0</v>
      </c>
      <c r="L195" s="9"/>
      <c r="M195" s="66"/>
      <c r="N195" s="66"/>
      <c r="O195" s="66"/>
      <c r="P195" s="66"/>
      <c r="Q195" s="66"/>
    </row>
    <row r="196" spans="1:17" ht="12.9" customHeight="1" x14ac:dyDescent="0.55000000000000004">
      <c r="A196" s="10" t="s">
        <v>216</v>
      </c>
      <c r="B196" s="10" t="s">
        <v>217</v>
      </c>
      <c r="C196" s="4" t="s">
        <v>223</v>
      </c>
      <c r="D196" s="5">
        <v>1</v>
      </c>
      <c r="E196" s="5">
        <v>0</v>
      </c>
      <c r="F196" s="6">
        <v>0.29097222222222224</v>
      </c>
      <c r="G196" s="7">
        <f t="shared" si="15"/>
        <v>0.29097222222222224</v>
      </c>
      <c r="H196" s="4">
        <v>71.41</v>
      </c>
      <c r="I196" s="7">
        <f t="shared" si="12"/>
        <v>0</v>
      </c>
      <c r="J196" s="8">
        <f t="shared" si="13"/>
        <v>0</v>
      </c>
      <c r="K196" s="86">
        <f>IF(Tableau1[[#This Row],[Id Impression]]&lt;&gt;0,WORKDAY(stats!$L$2,Tableau1[[#This Row],[Id Impression]],Férier)-1,0)</f>
        <v>0</v>
      </c>
      <c r="L196" s="9"/>
      <c r="M196" s="66"/>
      <c r="N196" s="66"/>
      <c r="O196" s="66"/>
      <c r="P196" s="66"/>
      <c r="Q196" s="66"/>
    </row>
    <row r="197" spans="1:17" ht="12.9" customHeight="1" x14ac:dyDescent="0.55000000000000004">
      <c r="A197" s="10" t="s">
        <v>216</v>
      </c>
      <c r="B197" s="10" t="s">
        <v>224</v>
      </c>
      <c r="C197" s="10" t="s">
        <v>225</v>
      </c>
      <c r="D197" s="5">
        <v>4</v>
      </c>
      <c r="E197" s="5">
        <v>0</v>
      </c>
      <c r="F197" s="11">
        <v>7.4305555555555555E-2</v>
      </c>
      <c r="G197" s="7">
        <f t="shared" si="15"/>
        <v>7.4305555555555555E-2</v>
      </c>
      <c r="H197" s="10">
        <v>21.26</v>
      </c>
      <c r="I197" s="7">
        <f t="shared" si="12"/>
        <v>0</v>
      </c>
      <c r="J197" s="8">
        <f t="shared" si="13"/>
        <v>0</v>
      </c>
      <c r="K197" s="86">
        <f>IF(Tableau1[[#This Row],[Id Impression]]&lt;&gt;0,WORKDAY(stats!$L$2,Tableau1[[#This Row],[Id Impression]],Férier)-1,0)</f>
        <v>0</v>
      </c>
      <c r="L197" s="9"/>
      <c r="M197" s="66"/>
      <c r="N197" s="66"/>
      <c r="O197" s="66"/>
      <c r="P197" s="66"/>
      <c r="Q197" s="66"/>
    </row>
    <row r="198" spans="1:17" ht="12.9" customHeight="1" x14ac:dyDescent="0.55000000000000004">
      <c r="A198" s="10" t="s">
        <v>216</v>
      </c>
      <c r="B198" s="10" t="s">
        <v>224</v>
      </c>
      <c r="C198" s="10" t="s">
        <v>226</v>
      </c>
      <c r="D198" s="5">
        <v>1</v>
      </c>
      <c r="E198" s="5">
        <v>0</v>
      </c>
      <c r="F198" s="11">
        <v>3.2638888888888891E-2</v>
      </c>
      <c r="G198" s="7">
        <f t="shared" si="15"/>
        <v>3.2638888888888891E-2</v>
      </c>
      <c r="H198" s="10">
        <v>13.3</v>
      </c>
      <c r="I198" s="7">
        <f t="shared" si="12"/>
        <v>0</v>
      </c>
      <c r="J198" s="8">
        <f t="shared" si="13"/>
        <v>0</v>
      </c>
      <c r="K198" s="86">
        <f>IF(Tableau1[[#This Row],[Id Impression]]&lt;&gt;0,WORKDAY(stats!$L$2,Tableau1[[#This Row],[Id Impression]],Férier)-1,0)</f>
        <v>0</v>
      </c>
      <c r="L198" s="9"/>
      <c r="M198" s="66"/>
      <c r="N198" s="66"/>
      <c r="O198" s="66"/>
      <c r="P198" s="66"/>
      <c r="Q198" s="66"/>
    </row>
    <row r="199" spans="1:17" ht="12.9" customHeight="1" x14ac:dyDescent="0.55000000000000004">
      <c r="A199" s="10" t="s">
        <v>216</v>
      </c>
      <c r="B199" s="10" t="s">
        <v>224</v>
      </c>
      <c r="C199" s="10" t="s">
        <v>227</v>
      </c>
      <c r="D199" s="5">
        <v>1</v>
      </c>
      <c r="E199" s="5">
        <v>0</v>
      </c>
      <c r="F199" s="11">
        <v>0.13263888888888889</v>
      </c>
      <c r="G199" s="7">
        <f t="shared" si="15"/>
        <v>0.13263888888888889</v>
      </c>
      <c r="H199" s="10">
        <v>31.39</v>
      </c>
      <c r="I199" s="7">
        <f t="shared" si="12"/>
        <v>0</v>
      </c>
      <c r="J199" s="8">
        <f t="shared" si="13"/>
        <v>0</v>
      </c>
      <c r="K199" s="86">
        <f>IF(Tableau1[[#This Row],[Id Impression]]&lt;&gt;0,WORKDAY(stats!$L$2,Tableau1[[#This Row],[Id Impression]],Férier)-1,0)</f>
        <v>0</v>
      </c>
      <c r="L199" s="9"/>
      <c r="M199" s="66"/>
      <c r="N199" s="66"/>
      <c r="O199" s="66"/>
      <c r="P199" s="66"/>
      <c r="Q199" s="66"/>
    </row>
    <row r="200" spans="1:17" ht="12.9" customHeight="1" x14ac:dyDescent="0.55000000000000004">
      <c r="A200" s="10" t="s">
        <v>216</v>
      </c>
      <c r="B200" s="10" t="s">
        <v>217</v>
      </c>
      <c r="C200" s="4" t="s">
        <v>228</v>
      </c>
      <c r="D200" s="5">
        <v>1</v>
      </c>
      <c r="E200" s="5">
        <v>0</v>
      </c>
      <c r="F200" s="6">
        <v>0.11875000000000001</v>
      </c>
      <c r="G200" s="7">
        <f t="shared" si="15"/>
        <v>0.11875000000000001</v>
      </c>
      <c r="H200" s="4">
        <v>22.68</v>
      </c>
      <c r="I200" s="7">
        <f t="shared" ref="I200:I232" si="16">G200*E200</f>
        <v>0</v>
      </c>
      <c r="J200" s="8">
        <f t="shared" ref="J200:J232" si="17">E200*H200</f>
        <v>0</v>
      </c>
      <c r="K200" s="86">
        <f>IF(Tableau1[[#This Row],[Id Impression]]&lt;&gt;0,WORKDAY(stats!$L$2,Tableau1[[#This Row],[Id Impression]],Férier)-1,0)</f>
        <v>0</v>
      </c>
      <c r="L200" s="9"/>
      <c r="M200" s="66"/>
      <c r="N200" s="66"/>
      <c r="O200" s="66"/>
      <c r="P200" s="66"/>
      <c r="Q200" s="66"/>
    </row>
    <row r="201" spans="1:17" ht="12.9" customHeight="1" x14ac:dyDescent="0.55000000000000004">
      <c r="A201" s="10" t="s">
        <v>216</v>
      </c>
      <c r="B201" s="10" t="s">
        <v>217</v>
      </c>
      <c r="C201" s="4" t="s">
        <v>229</v>
      </c>
      <c r="D201" s="5">
        <v>1</v>
      </c>
      <c r="E201" s="5">
        <v>0</v>
      </c>
      <c r="F201" s="6">
        <v>0.15486111111111112</v>
      </c>
      <c r="G201" s="7">
        <f t="shared" si="15"/>
        <v>0.15486111111111112</v>
      </c>
      <c r="H201" s="4">
        <v>31.5</v>
      </c>
      <c r="I201" s="7">
        <f t="shared" si="16"/>
        <v>0</v>
      </c>
      <c r="J201" s="8">
        <f t="shared" si="17"/>
        <v>0</v>
      </c>
      <c r="K201" s="86">
        <f>IF(Tableau1[[#This Row],[Id Impression]]&lt;&gt;0,WORKDAY(stats!$L$2,Tableau1[[#This Row],[Id Impression]],Férier)-1,0)</f>
        <v>0</v>
      </c>
      <c r="L201" s="9"/>
      <c r="M201" s="66"/>
      <c r="N201" s="66"/>
      <c r="O201" s="66"/>
      <c r="P201" s="66"/>
      <c r="Q201" s="66"/>
    </row>
    <row r="202" spans="1:17" ht="12.9" customHeight="1" x14ac:dyDescent="0.55000000000000004">
      <c r="A202" s="10" t="s">
        <v>216</v>
      </c>
      <c r="B202" s="10" t="s">
        <v>217</v>
      </c>
      <c r="C202" s="4" t="s">
        <v>230</v>
      </c>
      <c r="D202" s="5">
        <v>1</v>
      </c>
      <c r="E202" s="5">
        <v>0</v>
      </c>
      <c r="F202" s="6">
        <v>0.15625</v>
      </c>
      <c r="G202" s="7">
        <f t="shared" si="15"/>
        <v>0.15625</v>
      </c>
      <c r="H202" s="4">
        <v>31.53</v>
      </c>
      <c r="I202" s="7">
        <f t="shared" si="16"/>
        <v>0</v>
      </c>
      <c r="J202" s="8">
        <f t="shared" si="17"/>
        <v>0</v>
      </c>
      <c r="K202" s="86">
        <f>IF(Tableau1[[#This Row],[Id Impression]]&lt;&gt;0,WORKDAY(stats!$L$2,Tableau1[[#This Row],[Id Impression]],Férier)-1,0)</f>
        <v>0</v>
      </c>
      <c r="L202" s="9"/>
      <c r="M202" s="66"/>
      <c r="N202" s="66"/>
      <c r="O202" s="66"/>
      <c r="P202" s="66"/>
      <c r="Q202" s="66"/>
    </row>
    <row r="203" spans="1:17" ht="12.9" customHeight="1" x14ac:dyDescent="0.55000000000000004">
      <c r="A203" s="10" t="s">
        <v>216</v>
      </c>
      <c r="B203" s="10" t="s">
        <v>217</v>
      </c>
      <c r="C203" s="4" t="s">
        <v>231</v>
      </c>
      <c r="D203" s="5">
        <v>1</v>
      </c>
      <c r="E203" s="5">
        <v>0</v>
      </c>
      <c r="F203" s="6">
        <v>2.2916666666666669E-2</v>
      </c>
      <c r="G203" s="7">
        <f t="shared" si="15"/>
        <v>2.2916666666666669E-2</v>
      </c>
      <c r="H203" s="4">
        <v>5.4</v>
      </c>
      <c r="I203" s="7">
        <f t="shared" si="16"/>
        <v>0</v>
      </c>
      <c r="J203" s="8">
        <f t="shared" si="17"/>
        <v>0</v>
      </c>
      <c r="K203" s="86">
        <f>IF(Tableau1[[#This Row],[Id Impression]]&lt;&gt;0,WORKDAY(stats!$L$2,Tableau1[[#This Row],[Id Impression]],Férier)-1,0)</f>
        <v>0</v>
      </c>
      <c r="L203" s="9"/>
      <c r="M203" s="66"/>
      <c r="N203" s="66"/>
      <c r="O203" s="66"/>
      <c r="P203" s="66"/>
      <c r="Q203" s="66"/>
    </row>
    <row r="204" spans="1:17" ht="12.9" customHeight="1" x14ac:dyDescent="0.55000000000000004">
      <c r="A204" s="10" t="s">
        <v>216</v>
      </c>
      <c r="B204" s="10" t="s">
        <v>217</v>
      </c>
      <c r="C204" s="4" t="s">
        <v>232</v>
      </c>
      <c r="D204" s="5">
        <v>2</v>
      </c>
      <c r="E204" s="5">
        <v>0</v>
      </c>
      <c r="F204" s="6">
        <v>8.6805555555555566E-2</v>
      </c>
      <c r="G204" s="7">
        <f t="shared" ref="G204:G232" si="18">F204</f>
        <v>8.6805555555555566E-2</v>
      </c>
      <c r="H204" s="4">
        <v>16.38</v>
      </c>
      <c r="I204" s="7">
        <f t="shared" si="16"/>
        <v>0</v>
      </c>
      <c r="J204" s="8">
        <f t="shared" si="17"/>
        <v>0</v>
      </c>
      <c r="K204" s="86">
        <f>IF(Tableau1[[#This Row],[Id Impression]]&lt;&gt;0,WORKDAY(stats!$L$2,Tableau1[[#This Row],[Id Impression]],Férier)-1,0)</f>
        <v>0</v>
      </c>
      <c r="L204" s="9"/>
      <c r="M204" s="66"/>
      <c r="N204" s="66"/>
      <c r="O204" s="66"/>
      <c r="P204" s="66"/>
      <c r="Q204" s="66"/>
    </row>
    <row r="205" spans="1:17" ht="12.9" customHeight="1" x14ac:dyDescent="0.55000000000000004">
      <c r="A205" s="10" t="s">
        <v>216</v>
      </c>
      <c r="B205" s="10" t="s">
        <v>224</v>
      </c>
      <c r="C205" s="10" t="s">
        <v>233</v>
      </c>
      <c r="D205" s="5">
        <v>1</v>
      </c>
      <c r="E205" s="5">
        <v>0</v>
      </c>
      <c r="F205" s="11">
        <v>0.17361111111111113</v>
      </c>
      <c r="G205" s="7">
        <f t="shared" si="18"/>
        <v>0.17361111111111113</v>
      </c>
      <c r="H205" s="10">
        <v>55.04</v>
      </c>
      <c r="I205" s="7">
        <f t="shared" si="16"/>
        <v>0</v>
      </c>
      <c r="J205" s="8">
        <f t="shared" si="17"/>
        <v>0</v>
      </c>
      <c r="K205" s="86">
        <f>IF(Tableau1[[#This Row],[Id Impression]]&lt;&gt;0,WORKDAY(stats!$L$2,Tableau1[[#This Row],[Id Impression]],Férier)-1,0)</f>
        <v>0</v>
      </c>
      <c r="L205" s="9"/>
      <c r="M205" s="66"/>
      <c r="N205" s="66"/>
      <c r="O205" s="66"/>
      <c r="P205" s="66"/>
      <c r="Q205" s="66"/>
    </row>
    <row r="206" spans="1:17" ht="12.9" customHeight="1" x14ac:dyDescent="0.55000000000000004">
      <c r="A206" s="10" t="s">
        <v>216</v>
      </c>
      <c r="B206" s="10" t="s">
        <v>224</v>
      </c>
      <c r="C206" s="10" t="s">
        <v>234</v>
      </c>
      <c r="D206" s="5">
        <v>1</v>
      </c>
      <c r="E206" s="5">
        <v>0</v>
      </c>
      <c r="F206" s="11">
        <v>0.17708333333333334</v>
      </c>
      <c r="G206" s="7">
        <f t="shared" si="18"/>
        <v>0.17708333333333334</v>
      </c>
      <c r="H206" s="10">
        <v>56.69</v>
      </c>
      <c r="I206" s="7">
        <f t="shared" si="16"/>
        <v>0</v>
      </c>
      <c r="J206" s="8">
        <f t="shared" si="17"/>
        <v>0</v>
      </c>
      <c r="K206" s="86">
        <f>IF(Tableau1[[#This Row],[Id Impression]]&lt;&gt;0,WORKDAY(stats!$L$2,Tableau1[[#This Row],[Id Impression]],Férier)-1,0)</f>
        <v>0</v>
      </c>
      <c r="L206" s="9"/>
      <c r="M206" s="66"/>
      <c r="N206" s="66"/>
      <c r="O206" s="66"/>
      <c r="P206" s="66"/>
      <c r="Q206" s="66"/>
    </row>
    <row r="207" spans="1:17" ht="12.9" customHeight="1" x14ac:dyDescent="0.55000000000000004">
      <c r="A207" s="10" t="s">
        <v>216</v>
      </c>
      <c r="B207" s="10" t="s">
        <v>224</v>
      </c>
      <c r="C207" s="10" t="s">
        <v>235</v>
      </c>
      <c r="D207" s="5">
        <v>1</v>
      </c>
      <c r="E207" s="5">
        <v>0</v>
      </c>
      <c r="F207" s="11">
        <v>0.19930555555555554</v>
      </c>
      <c r="G207" s="7">
        <f t="shared" si="18"/>
        <v>0.19930555555555554</v>
      </c>
      <c r="H207" s="10">
        <v>54.07</v>
      </c>
      <c r="I207" s="7">
        <f t="shared" si="16"/>
        <v>0</v>
      </c>
      <c r="J207" s="8">
        <f t="shared" si="17"/>
        <v>0</v>
      </c>
      <c r="K207" s="86">
        <f>IF(Tableau1[[#This Row],[Id Impression]]&lt;&gt;0,WORKDAY(stats!$L$2,Tableau1[[#This Row],[Id Impression]],Férier)-1,0)</f>
        <v>0</v>
      </c>
      <c r="L207" s="9"/>
      <c r="M207" s="66"/>
      <c r="N207" s="66"/>
      <c r="O207" s="66"/>
      <c r="P207" s="66"/>
      <c r="Q207" s="66"/>
    </row>
    <row r="208" spans="1:17" ht="12.9" customHeight="1" x14ac:dyDescent="0.55000000000000004">
      <c r="A208" s="10" t="s">
        <v>216</v>
      </c>
      <c r="B208" s="10" t="s">
        <v>224</v>
      </c>
      <c r="C208" s="10" t="s">
        <v>236</v>
      </c>
      <c r="D208" s="5">
        <v>1</v>
      </c>
      <c r="E208" s="5">
        <v>0</v>
      </c>
      <c r="F208" s="11">
        <v>0.19513888888888889</v>
      </c>
      <c r="G208" s="7">
        <f t="shared" si="18"/>
        <v>0.19513888888888889</v>
      </c>
      <c r="H208" s="10">
        <v>52.64</v>
      </c>
      <c r="I208" s="7">
        <f t="shared" si="16"/>
        <v>0</v>
      </c>
      <c r="J208" s="8">
        <f t="shared" si="17"/>
        <v>0</v>
      </c>
      <c r="K208" s="86">
        <f>IF(Tableau1[[#This Row],[Id Impression]]&lt;&gt;0,WORKDAY(stats!$L$2,Tableau1[[#This Row],[Id Impression]],Férier)-1,0)</f>
        <v>0</v>
      </c>
      <c r="L208" s="9"/>
      <c r="M208" s="66"/>
      <c r="N208" s="66"/>
      <c r="O208" s="66"/>
      <c r="P208" s="66"/>
      <c r="Q208" s="66"/>
    </row>
    <row r="209" spans="1:17" ht="12.9" customHeight="1" x14ac:dyDescent="0.55000000000000004">
      <c r="A209" s="10" t="s">
        <v>216</v>
      </c>
      <c r="B209" s="10" t="s">
        <v>224</v>
      </c>
      <c r="C209" s="10" t="s">
        <v>237</v>
      </c>
      <c r="D209" s="5">
        <v>1</v>
      </c>
      <c r="E209" s="5">
        <v>0</v>
      </c>
      <c r="F209" s="11">
        <v>0.13263888888888889</v>
      </c>
      <c r="G209" s="7">
        <f t="shared" si="18"/>
        <v>0.13263888888888889</v>
      </c>
      <c r="H209" s="10">
        <v>32.14</v>
      </c>
      <c r="I209" s="7">
        <f t="shared" si="16"/>
        <v>0</v>
      </c>
      <c r="J209" s="8">
        <f t="shared" si="17"/>
        <v>0</v>
      </c>
      <c r="K209" s="86">
        <f>IF(Tableau1[[#This Row],[Id Impression]]&lt;&gt;0,WORKDAY(stats!$L$2,Tableau1[[#This Row],[Id Impression]],Férier)-1,0)</f>
        <v>0</v>
      </c>
      <c r="L209" s="9"/>
      <c r="M209" s="66"/>
      <c r="N209" s="66"/>
      <c r="O209" s="66"/>
      <c r="P209" s="66"/>
      <c r="Q209" s="66"/>
    </row>
    <row r="210" spans="1:17" ht="12.9" customHeight="1" x14ac:dyDescent="0.55000000000000004">
      <c r="A210" s="10" t="s">
        <v>216</v>
      </c>
      <c r="B210" s="10" t="s">
        <v>224</v>
      </c>
      <c r="C210" s="10" t="s">
        <v>238</v>
      </c>
      <c r="D210" s="5">
        <v>1</v>
      </c>
      <c r="E210" s="5">
        <v>0</v>
      </c>
      <c r="F210" s="11">
        <v>0.11944444444444445</v>
      </c>
      <c r="G210" s="7">
        <f t="shared" si="18"/>
        <v>0.11944444444444445</v>
      </c>
      <c r="H210" s="10">
        <v>24.91</v>
      </c>
      <c r="I210" s="7">
        <f t="shared" si="16"/>
        <v>0</v>
      </c>
      <c r="J210" s="8">
        <f t="shared" si="17"/>
        <v>0</v>
      </c>
      <c r="K210" s="86">
        <f>IF(Tableau1[[#This Row],[Id Impression]]&lt;&gt;0,WORKDAY(stats!$L$2,Tableau1[[#This Row],[Id Impression]],Férier)-1,0)</f>
        <v>0</v>
      </c>
      <c r="L210" s="9"/>
      <c r="M210" s="66"/>
      <c r="N210" s="66"/>
      <c r="O210" s="66"/>
      <c r="P210" s="66"/>
      <c r="Q210" s="66"/>
    </row>
    <row r="211" spans="1:17" ht="12.9" customHeight="1" x14ac:dyDescent="0.55000000000000004">
      <c r="A211" s="10" t="s">
        <v>216</v>
      </c>
      <c r="B211" s="10" t="s">
        <v>224</v>
      </c>
      <c r="C211" s="10" t="s">
        <v>239</v>
      </c>
      <c r="D211" s="5">
        <v>1</v>
      </c>
      <c r="E211" s="5">
        <v>0</v>
      </c>
      <c r="F211" s="11">
        <v>0.33124999999999999</v>
      </c>
      <c r="G211" s="7">
        <f t="shared" si="18"/>
        <v>0.33124999999999999</v>
      </c>
      <c r="H211" s="10">
        <v>72.77</v>
      </c>
      <c r="I211" s="7">
        <f t="shared" si="16"/>
        <v>0</v>
      </c>
      <c r="J211" s="8">
        <f t="shared" si="17"/>
        <v>0</v>
      </c>
      <c r="K211" s="86">
        <f>IF(Tableau1[[#This Row],[Id Impression]]&lt;&gt;0,WORKDAY(stats!$L$2,Tableau1[[#This Row],[Id Impression]],Férier)-1,0)</f>
        <v>0</v>
      </c>
      <c r="L211" s="9"/>
      <c r="M211" s="66"/>
      <c r="N211" s="66"/>
      <c r="O211" s="66"/>
      <c r="P211" s="66"/>
      <c r="Q211" s="66"/>
    </row>
    <row r="212" spans="1:17" ht="12.9" customHeight="1" x14ac:dyDescent="0.55000000000000004">
      <c r="A212" s="10" t="s">
        <v>216</v>
      </c>
      <c r="B212" s="10" t="s">
        <v>240</v>
      </c>
      <c r="C212" s="4" t="s">
        <v>241</v>
      </c>
      <c r="D212" s="5">
        <v>1</v>
      </c>
      <c r="E212" s="5">
        <v>0</v>
      </c>
      <c r="F212" s="6">
        <v>0.18888888888888888</v>
      </c>
      <c r="G212" s="7">
        <f t="shared" si="18"/>
        <v>0.18888888888888888</v>
      </c>
      <c r="H212" s="4">
        <v>48.26</v>
      </c>
      <c r="I212" s="7">
        <f t="shared" si="16"/>
        <v>0</v>
      </c>
      <c r="J212" s="8">
        <f t="shared" si="17"/>
        <v>0</v>
      </c>
      <c r="K212" s="86">
        <f>IF(Tableau1[[#This Row],[Id Impression]]&lt;&gt;0,WORKDAY(stats!$L$2,Tableau1[[#This Row],[Id Impression]],Férier)-1,0)</f>
        <v>0</v>
      </c>
      <c r="L212" s="9"/>
      <c r="M212" s="66"/>
      <c r="N212" s="66"/>
      <c r="O212" s="66"/>
      <c r="P212" s="66"/>
      <c r="Q212" s="66"/>
    </row>
    <row r="213" spans="1:17" ht="12.9" customHeight="1" x14ac:dyDescent="0.55000000000000004">
      <c r="A213" s="10" t="s">
        <v>216</v>
      </c>
      <c r="B213" s="10" t="s">
        <v>240</v>
      </c>
      <c r="C213" s="4" t="s">
        <v>242</v>
      </c>
      <c r="D213" s="5">
        <v>1</v>
      </c>
      <c r="E213" s="5">
        <v>0</v>
      </c>
      <c r="F213" s="6">
        <v>0.19236111111111112</v>
      </c>
      <c r="G213" s="7">
        <f t="shared" si="18"/>
        <v>0.19236111111111112</v>
      </c>
      <c r="H213" s="4">
        <v>49.14</v>
      </c>
      <c r="I213" s="7">
        <f t="shared" si="16"/>
        <v>0</v>
      </c>
      <c r="J213" s="8">
        <f t="shared" si="17"/>
        <v>0</v>
      </c>
      <c r="K213" s="86">
        <f>IF(Tableau1[[#This Row],[Id Impression]]&lt;&gt;0,WORKDAY(stats!$L$2,Tableau1[[#This Row],[Id Impression]],Férier)-1,0)</f>
        <v>0</v>
      </c>
      <c r="L213" s="9"/>
      <c r="M213" s="66"/>
      <c r="N213" s="66"/>
      <c r="O213" s="66"/>
      <c r="P213" s="66"/>
      <c r="Q213" s="66"/>
    </row>
    <row r="214" spans="1:17" ht="12.9" customHeight="1" x14ac:dyDescent="0.55000000000000004">
      <c r="A214" s="10" t="s">
        <v>216</v>
      </c>
      <c r="B214" s="10" t="s">
        <v>224</v>
      </c>
      <c r="C214" s="10" t="s">
        <v>243</v>
      </c>
      <c r="D214" s="5">
        <v>1</v>
      </c>
      <c r="E214" s="5">
        <v>0</v>
      </c>
      <c r="F214" s="11">
        <v>0.11666666666666665</v>
      </c>
      <c r="G214" s="7">
        <f t="shared" si="18"/>
        <v>0.11666666666666665</v>
      </c>
      <c r="H214" s="10">
        <v>35.159999999999997</v>
      </c>
      <c r="I214" s="7">
        <f t="shared" si="16"/>
        <v>0</v>
      </c>
      <c r="J214" s="8">
        <f t="shared" si="17"/>
        <v>0</v>
      </c>
      <c r="K214" s="86">
        <f>IF(Tableau1[[#This Row],[Id Impression]]&lt;&gt;0,WORKDAY(stats!$L$2,Tableau1[[#This Row],[Id Impression]],Férier)-1,0)</f>
        <v>0</v>
      </c>
      <c r="L214" s="9"/>
      <c r="M214" s="66"/>
      <c r="N214" s="66"/>
      <c r="O214" s="66"/>
      <c r="P214" s="66"/>
      <c r="Q214" s="66"/>
    </row>
    <row r="215" spans="1:17" ht="12.9" customHeight="1" x14ac:dyDescent="0.55000000000000004">
      <c r="A215" s="10" t="s">
        <v>216</v>
      </c>
      <c r="B215" s="10" t="s">
        <v>224</v>
      </c>
      <c r="C215" s="10" t="s">
        <v>244</v>
      </c>
      <c r="D215" s="5">
        <v>1</v>
      </c>
      <c r="E215" s="5">
        <v>0</v>
      </c>
      <c r="F215" s="6">
        <v>0.11527777777777777</v>
      </c>
      <c r="G215" s="7">
        <f t="shared" si="18"/>
        <v>0.11527777777777777</v>
      </c>
      <c r="H215" s="4">
        <v>34.93</v>
      </c>
      <c r="I215" s="7">
        <f t="shared" si="16"/>
        <v>0</v>
      </c>
      <c r="J215" s="8">
        <f t="shared" si="17"/>
        <v>0</v>
      </c>
      <c r="K215" s="86">
        <f>IF(Tableau1[[#This Row],[Id Impression]]&lt;&gt;0,WORKDAY(stats!$L$2,Tableau1[[#This Row],[Id Impression]],Férier)-1,0)</f>
        <v>0</v>
      </c>
      <c r="L215" s="9"/>
      <c r="M215" s="66"/>
      <c r="N215" s="66"/>
      <c r="O215" s="66"/>
      <c r="P215" s="66"/>
      <c r="Q215" s="66"/>
    </row>
    <row r="216" spans="1:17" ht="12.9" customHeight="1" x14ac:dyDescent="0.55000000000000004">
      <c r="A216" s="10" t="s">
        <v>216</v>
      </c>
      <c r="B216" s="10" t="s">
        <v>224</v>
      </c>
      <c r="C216" s="10" t="s">
        <v>245</v>
      </c>
      <c r="D216" s="5">
        <v>1</v>
      </c>
      <c r="E216" s="5">
        <v>0</v>
      </c>
      <c r="F216" s="6">
        <v>0.16180555555555556</v>
      </c>
      <c r="G216" s="7">
        <f t="shared" si="18"/>
        <v>0.16180555555555556</v>
      </c>
      <c r="H216" s="4">
        <v>46.02</v>
      </c>
      <c r="I216" s="7">
        <f t="shared" si="16"/>
        <v>0</v>
      </c>
      <c r="J216" s="8">
        <f t="shared" si="17"/>
        <v>0</v>
      </c>
      <c r="K216" s="86">
        <f>IF(Tableau1[[#This Row],[Id Impression]]&lt;&gt;0,WORKDAY(stats!$L$2,Tableau1[[#This Row],[Id Impression]],Férier)-1,0)</f>
        <v>0</v>
      </c>
      <c r="L216" s="9"/>
      <c r="M216" s="66"/>
      <c r="N216" s="66"/>
      <c r="O216" s="66"/>
      <c r="P216" s="66"/>
      <c r="Q216" s="66"/>
    </row>
    <row r="217" spans="1:17" ht="12.9" customHeight="1" x14ac:dyDescent="0.55000000000000004">
      <c r="A217" s="10" t="s">
        <v>216</v>
      </c>
      <c r="B217" s="10" t="s">
        <v>224</v>
      </c>
      <c r="C217" s="10" t="s">
        <v>246</v>
      </c>
      <c r="D217" s="5">
        <v>1</v>
      </c>
      <c r="E217" s="5">
        <v>0</v>
      </c>
      <c r="F217" s="6">
        <v>0.16250000000000001</v>
      </c>
      <c r="G217" s="7">
        <f t="shared" si="18"/>
        <v>0.16250000000000001</v>
      </c>
      <c r="H217" s="4">
        <v>46.07</v>
      </c>
      <c r="I217" s="7">
        <f t="shared" si="16"/>
        <v>0</v>
      </c>
      <c r="J217" s="8">
        <f t="shared" si="17"/>
        <v>0</v>
      </c>
      <c r="K217" s="86">
        <f>IF(Tableau1[[#This Row],[Id Impression]]&lt;&gt;0,WORKDAY(stats!$L$2,Tableau1[[#This Row],[Id Impression]],Férier)-1,0)</f>
        <v>0</v>
      </c>
      <c r="L217" s="9"/>
      <c r="M217" s="66"/>
      <c r="N217" s="66"/>
      <c r="O217" s="66"/>
      <c r="P217" s="66"/>
      <c r="Q217" s="66"/>
    </row>
    <row r="218" spans="1:17" ht="12.9" customHeight="1" x14ac:dyDescent="0.55000000000000004">
      <c r="A218" s="10" t="s">
        <v>216</v>
      </c>
      <c r="B218" s="10" t="s">
        <v>224</v>
      </c>
      <c r="C218" s="4" t="s">
        <v>247</v>
      </c>
      <c r="D218" s="5">
        <v>1</v>
      </c>
      <c r="E218" s="5">
        <v>0</v>
      </c>
      <c r="F218" s="6">
        <v>9.9999999999999992E-2</v>
      </c>
      <c r="G218" s="7">
        <f t="shared" si="18"/>
        <v>9.9999999999999992E-2</v>
      </c>
      <c r="H218" s="4">
        <v>30.54</v>
      </c>
      <c r="I218" s="7">
        <f t="shared" si="16"/>
        <v>0</v>
      </c>
      <c r="J218" s="8">
        <f t="shared" si="17"/>
        <v>0</v>
      </c>
      <c r="K218" s="86">
        <f>IF(Tableau1[[#This Row],[Id Impression]]&lt;&gt;0,WORKDAY(stats!$L$2,Tableau1[[#This Row],[Id Impression]],Férier)-1,0)</f>
        <v>0</v>
      </c>
      <c r="L218" s="9"/>
      <c r="M218" s="66"/>
      <c r="N218" s="66"/>
      <c r="O218" s="66"/>
      <c r="P218" s="66"/>
      <c r="Q218" s="66"/>
    </row>
    <row r="219" spans="1:17" ht="12.9" customHeight="1" x14ac:dyDescent="0.55000000000000004">
      <c r="A219" s="10" t="s">
        <v>216</v>
      </c>
      <c r="B219" s="10" t="s">
        <v>224</v>
      </c>
      <c r="C219" s="4" t="s">
        <v>248</v>
      </c>
      <c r="D219" s="5">
        <v>1</v>
      </c>
      <c r="E219" s="5">
        <v>0</v>
      </c>
      <c r="F219" s="6">
        <v>9.930555555555555E-2</v>
      </c>
      <c r="G219" s="7">
        <f t="shared" si="18"/>
        <v>9.930555555555555E-2</v>
      </c>
      <c r="H219" s="4">
        <v>30.55</v>
      </c>
      <c r="I219" s="7">
        <f t="shared" si="16"/>
        <v>0</v>
      </c>
      <c r="J219" s="8">
        <f t="shared" si="17"/>
        <v>0</v>
      </c>
      <c r="K219" s="86">
        <f>IF(Tableau1[[#This Row],[Id Impression]]&lt;&gt;0,WORKDAY(stats!$L$2,Tableau1[[#This Row],[Id Impression]],Férier)-1,0)</f>
        <v>0</v>
      </c>
      <c r="L219" s="9"/>
      <c r="M219" s="66"/>
      <c r="N219" s="66"/>
      <c r="O219" s="66"/>
      <c r="P219" s="66"/>
      <c r="Q219" s="66"/>
    </row>
    <row r="220" spans="1:17" ht="12.9" customHeight="1" x14ac:dyDescent="0.55000000000000004">
      <c r="A220" s="10" t="s">
        <v>216</v>
      </c>
      <c r="B220" s="10" t="s">
        <v>224</v>
      </c>
      <c r="C220" s="4" t="s">
        <v>249</v>
      </c>
      <c r="D220" s="5">
        <v>1</v>
      </c>
      <c r="E220" s="5">
        <v>0</v>
      </c>
      <c r="F220" s="6">
        <v>0.16666666666666666</v>
      </c>
      <c r="G220" s="7">
        <f t="shared" si="18"/>
        <v>0.16666666666666666</v>
      </c>
      <c r="H220" s="4">
        <v>49.13</v>
      </c>
      <c r="I220" s="7">
        <f t="shared" si="16"/>
        <v>0</v>
      </c>
      <c r="J220" s="8">
        <f t="shared" si="17"/>
        <v>0</v>
      </c>
      <c r="K220" s="86">
        <f>IF(Tableau1[[#This Row],[Id Impression]]&lt;&gt;0,WORKDAY(stats!$L$2,Tableau1[[#This Row],[Id Impression]],Férier)-1,0)</f>
        <v>0</v>
      </c>
      <c r="L220" s="9"/>
      <c r="M220" s="66"/>
      <c r="N220" s="66"/>
      <c r="O220" s="66"/>
      <c r="P220" s="66"/>
      <c r="Q220" s="66"/>
    </row>
    <row r="221" spans="1:17" ht="12.9" customHeight="1" x14ac:dyDescent="0.55000000000000004">
      <c r="A221" s="10" t="s">
        <v>216</v>
      </c>
      <c r="B221" s="10" t="s">
        <v>240</v>
      </c>
      <c r="C221" s="4" t="s">
        <v>250</v>
      </c>
      <c r="D221" s="5">
        <v>1</v>
      </c>
      <c r="E221" s="5">
        <v>0</v>
      </c>
      <c r="F221" s="6">
        <v>0.21875</v>
      </c>
      <c r="G221" s="7">
        <f t="shared" si="18"/>
        <v>0.21875</v>
      </c>
      <c r="H221" s="4">
        <v>63.14</v>
      </c>
      <c r="I221" s="7">
        <f t="shared" si="16"/>
        <v>0</v>
      </c>
      <c r="J221" s="8">
        <f t="shared" si="17"/>
        <v>0</v>
      </c>
      <c r="K221" s="86">
        <f>IF(Tableau1[[#This Row],[Id Impression]]&lt;&gt;0,WORKDAY(stats!$L$2,Tableau1[[#This Row],[Id Impression]],Férier)-1,0)</f>
        <v>0</v>
      </c>
      <c r="L221" s="9"/>
      <c r="M221" s="66"/>
      <c r="N221" s="66"/>
      <c r="O221" s="66"/>
      <c r="P221" s="66"/>
      <c r="Q221" s="66"/>
    </row>
    <row r="222" spans="1:17" ht="12.9" customHeight="1" x14ac:dyDescent="0.55000000000000004">
      <c r="A222" s="10" t="s">
        <v>216</v>
      </c>
      <c r="B222" s="10" t="s">
        <v>240</v>
      </c>
      <c r="C222" s="4" t="s">
        <v>251</v>
      </c>
      <c r="D222" s="5">
        <v>1</v>
      </c>
      <c r="E222" s="5">
        <v>0</v>
      </c>
      <c r="F222" s="6">
        <v>0.21736111111111112</v>
      </c>
      <c r="G222" s="7">
        <f t="shared" si="18"/>
        <v>0.21736111111111112</v>
      </c>
      <c r="H222" s="4">
        <v>63.16</v>
      </c>
      <c r="I222" s="7">
        <f t="shared" si="16"/>
        <v>0</v>
      </c>
      <c r="J222" s="8">
        <f t="shared" si="17"/>
        <v>0</v>
      </c>
      <c r="K222" s="86">
        <f>IF(Tableau1[[#This Row],[Id Impression]]&lt;&gt;0,WORKDAY(stats!$L$2,Tableau1[[#This Row],[Id Impression]],Férier)-1,0)</f>
        <v>0</v>
      </c>
      <c r="L222" s="9"/>
      <c r="M222" s="66"/>
      <c r="N222" s="66"/>
      <c r="O222" s="66"/>
      <c r="P222" s="66"/>
      <c r="Q222" s="66"/>
    </row>
    <row r="223" spans="1:17" ht="12.9" customHeight="1" x14ac:dyDescent="0.55000000000000004">
      <c r="A223" s="10" t="s">
        <v>216</v>
      </c>
      <c r="B223" s="10" t="s">
        <v>224</v>
      </c>
      <c r="C223" s="4" t="s">
        <v>252</v>
      </c>
      <c r="D223" s="5">
        <v>1</v>
      </c>
      <c r="E223" s="5">
        <v>0</v>
      </c>
      <c r="F223" s="6">
        <v>7.7777777777777779E-2</v>
      </c>
      <c r="G223" s="7">
        <f t="shared" si="18"/>
        <v>7.7777777777777779E-2</v>
      </c>
      <c r="H223" s="4">
        <v>20.190000000000001</v>
      </c>
      <c r="I223" s="7">
        <f t="shared" si="16"/>
        <v>0</v>
      </c>
      <c r="J223" s="8">
        <f t="shared" si="17"/>
        <v>0</v>
      </c>
      <c r="K223" s="86">
        <f>IF(Tableau1[[#This Row],[Id Impression]]&lt;&gt;0,WORKDAY(stats!$L$2,Tableau1[[#This Row],[Id Impression]],Férier)-1,0)</f>
        <v>0</v>
      </c>
      <c r="L223" s="9"/>
      <c r="M223" s="66"/>
      <c r="N223" s="66"/>
      <c r="O223" s="66"/>
      <c r="P223" s="66"/>
      <c r="Q223" s="66"/>
    </row>
    <row r="224" spans="1:17" ht="12.9" customHeight="1" x14ac:dyDescent="0.55000000000000004">
      <c r="A224" s="10" t="s">
        <v>216</v>
      </c>
      <c r="B224" s="10" t="s">
        <v>224</v>
      </c>
      <c r="C224" s="4" t="s">
        <v>253</v>
      </c>
      <c r="D224" s="5">
        <v>1</v>
      </c>
      <c r="E224" s="5">
        <v>0</v>
      </c>
      <c r="F224" s="6">
        <v>7.7777777777777779E-2</v>
      </c>
      <c r="G224" s="7">
        <f t="shared" si="18"/>
        <v>7.7777777777777779E-2</v>
      </c>
      <c r="H224" s="4">
        <v>20.2</v>
      </c>
      <c r="I224" s="7">
        <f t="shared" si="16"/>
        <v>0</v>
      </c>
      <c r="J224" s="8">
        <f t="shared" si="17"/>
        <v>0</v>
      </c>
      <c r="K224" s="86">
        <f>IF(Tableau1[[#This Row],[Id Impression]]&lt;&gt;0,WORKDAY(stats!$L$2,Tableau1[[#This Row],[Id Impression]],Férier)-1,0)</f>
        <v>0</v>
      </c>
      <c r="L224" s="9"/>
      <c r="M224" s="66"/>
      <c r="N224" s="66"/>
      <c r="O224" s="66"/>
      <c r="P224" s="66"/>
      <c r="Q224" s="66"/>
    </row>
    <row r="225" spans="1:17" ht="12.9" customHeight="1" x14ac:dyDescent="0.55000000000000004">
      <c r="A225" s="10" t="s">
        <v>216</v>
      </c>
      <c r="B225" s="10" t="s">
        <v>224</v>
      </c>
      <c r="C225" s="4" t="s">
        <v>254</v>
      </c>
      <c r="D225" s="5">
        <v>2</v>
      </c>
      <c r="E225" s="5">
        <v>0</v>
      </c>
      <c r="F225" s="6">
        <v>0.1013888888888889</v>
      </c>
      <c r="G225" s="7">
        <f t="shared" si="18"/>
        <v>0.1013888888888889</v>
      </c>
      <c r="H225" s="4">
        <v>27.59</v>
      </c>
      <c r="I225" s="7">
        <f t="shared" si="16"/>
        <v>0</v>
      </c>
      <c r="J225" s="8">
        <f t="shared" si="17"/>
        <v>0</v>
      </c>
      <c r="K225" s="86">
        <f>IF(Tableau1[[#This Row],[Id Impression]]&lt;&gt;0,WORKDAY(stats!$L$2,Tableau1[[#This Row],[Id Impression]],Férier)-1,0)</f>
        <v>0</v>
      </c>
      <c r="L225" s="9"/>
      <c r="M225" s="66"/>
      <c r="N225" s="66"/>
      <c r="O225" s="66"/>
      <c r="P225" s="66"/>
      <c r="Q225" s="66"/>
    </row>
    <row r="226" spans="1:17" ht="12.9" customHeight="1" x14ac:dyDescent="0.55000000000000004">
      <c r="A226" s="10" t="s">
        <v>216</v>
      </c>
      <c r="B226" s="10" t="s">
        <v>224</v>
      </c>
      <c r="C226" s="4" t="s">
        <v>255</v>
      </c>
      <c r="D226" s="5">
        <v>1</v>
      </c>
      <c r="E226" s="5">
        <v>0</v>
      </c>
      <c r="F226" s="6">
        <v>3.3333333333333333E-2</v>
      </c>
      <c r="G226" s="7">
        <f t="shared" si="18"/>
        <v>3.3333333333333333E-2</v>
      </c>
      <c r="H226" s="4">
        <v>7.95</v>
      </c>
      <c r="I226" s="7">
        <f t="shared" si="16"/>
        <v>0</v>
      </c>
      <c r="J226" s="8">
        <f t="shared" si="17"/>
        <v>0</v>
      </c>
      <c r="K226" s="86">
        <f>IF(Tableau1[[#This Row],[Id Impression]]&lt;&gt;0,WORKDAY(stats!$L$2,Tableau1[[#This Row],[Id Impression]],Férier)-1,0)</f>
        <v>0</v>
      </c>
      <c r="L226" s="9"/>
      <c r="M226" s="66"/>
      <c r="N226" s="66"/>
      <c r="O226" s="66"/>
      <c r="P226" s="66"/>
      <c r="Q226" s="66"/>
    </row>
    <row r="227" spans="1:17" ht="12.9" customHeight="1" x14ac:dyDescent="0.55000000000000004">
      <c r="A227" s="10" t="s">
        <v>216</v>
      </c>
      <c r="B227" s="10" t="s">
        <v>224</v>
      </c>
      <c r="C227" s="4" t="s">
        <v>256</v>
      </c>
      <c r="D227" s="5">
        <v>1</v>
      </c>
      <c r="E227" s="5">
        <v>0</v>
      </c>
      <c r="F227" s="6">
        <v>0.17777777777777778</v>
      </c>
      <c r="G227" s="7">
        <f t="shared" si="18"/>
        <v>0.17777777777777778</v>
      </c>
      <c r="H227" s="4">
        <v>45.06</v>
      </c>
      <c r="I227" s="7">
        <f t="shared" si="16"/>
        <v>0</v>
      </c>
      <c r="J227" s="8">
        <f t="shared" si="17"/>
        <v>0</v>
      </c>
      <c r="K227" s="86">
        <f>IF(Tableau1[[#This Row],[Id Impression]]&lt;&gt;0,WORKDAY(stats!$L$2,Tableau1[[#This Row],[Id Impression]],Férier)-1,0)</f>
        <v>0</v>
      </c>
      <c r="L227" s="9"/>
      <c r="M227" s="66"/>
      <c r="N227" s="66"/>
      <c r="O227" s="66"/>
      <c r="P227" s="66"/>
      <c r="Q227" s="66"/>
    </row>
    <row r="228" spans="1:17" ht="12.9" customHeight="1" x14ac:dyDescent="0.55000000000000004">
      <c r="A228" s="10" t="s">
        <v>216</v>
      </c>
      <c r="B228" s="10" t="s">
        <v>224</v>
      </c>
      <c r="C228" s="4" t="s">
        <v>257</v>
      </c>
      <c r="D228" s="5">
        <v>1</v>
      </c>
      <c r="E228" s="5">
        <v>0</v>
      </c>
      <c r="F228" s="6">
        <v>0.18055555555555555</v>
      </c>
      <c r="G228" s="7">
        <f t="shared" si="18"/>
        <v>0.18055555555555555</v>
      </c>
      <c r="H228" s="4">
        <v>46.52</v>
      </c>
      <c r="I228" s="7">
        <f t="shared" si="16"/>
        <v>0</v>
      </c>
      <c r="J228" s="8">
        <f t="shared" si="17"/>
        <v>0</v>
      </c>
      <c r="K228" s="86">
        <f>IF(Tableau1[[#This Row],[Id Impression]]&lt;&gt;0,WORKDAY(stats!$L$2,Tableau1[[#This Row],[Id Impression]],Férier)-1,0)</f>
        <v>0</v>
      </c>
      <c r="L228" s="9"/>
      <c r="M228" s="66"/>
      <c r="N228" s="66"/>
      <c r="O228" s="66"/>
      <c r="P228" s="66"/>
      <c r="Q228" s="66"/>
    </row>
    <row r="229" spans="1:17" ht="12.9" customHeight="1" x14ac:dyDescent="0.55000000000000004">
      <c r="A229" s="10" t="s">
        <v>216</v>
      </c>
      <c r="B229" s="10" t="s">
        <v>224</v>
      </c>
      <c r="C229" s="4" t="s">
        <v>258</v>
      </c>
      <c r="D229" s="5">
        <v>1</v>
      </c>
      <c r="E229" s="5">
        <v>0</v>
      </c>
      <c r="F229" s="6">
        <v>0.15694444444444444</v>
      </c>
      <c r="G229" s="7">
        <f t="shared" si="18"/>
        <v>0.15694444444444444</v>
      </c>
      <c r="H229" s="4">
        <v>34.1</v>
      </c>
      <c r="I229" s="7">
        <f t="shared" si="16"/>
        <v>0</v>
      </c>
      <c r="J229" s="8">
        <f t="shared" si="17"/>
        <v>0</v>
      </c>
      <c r="K229" s="86">
        <f>IF(Tableau1[[#This Row],[Id Impression]]&lt;&gt;0,WORKDAY(stats!$L$2,Tableau1[[#This Row],[Id Impression]],Férier)-1,0)</f>
        <v>0</v>
      </c>
      <c r="L229" s="9"/>
      <c r="M229" s="66"/>
      <c r="N229" s="66"/>
      <c r="O229" s="66"/>
      <c r="P229" s="66"/>
      <c r="Q229" s="66"/>
    </row>
    <row r="230" spans="1:17" ht="12.9" customHeight="1" x14ac:dyDescent="0.55000000000000004">
      <c r="A230" s="10" t="s">
        <v>216</v>
      </c>
      <c r="B230" s="10" t="s">
        <v>224</v>
      </c>
      <c r="C230" s="4" t="s">
        <v>259</v>
      </c>
      <c r="D230" s="5">
        <v>1</v>
      </c>
      <c r="E230" s="5">
        <v>0</v>
      </c>
      <c r="F230" s="6">
        <v>0.21111111111111111</v>
      </c>
      <c r="G230" s="7">
        <f t="shared" si="18"/>
        <v>0.21111111111111111</v>
      </c>
      <c r="H230" s="4">
        <v>38.58</v>
      </c>
      <c r="I230" s="7">
        <f t="shared" si="16"/>
        <v>0</v>
      </c>
      <c r="J230" s="8">
        <f t="shared" si="17"/>
        <v>0</v>
      </c>
      <c r="K230" s="86">
        <f>IF(Tableau1[[#This Row],[Id Impression]]&lt;&gt;0,WORKDAY(stats!$L$2,Tableau1[[#This Row],[Id Impression]],Férier)-1,0)</f>
        <v>0</v>
      </c>
      <c r="L230" s="9"/>
      <c r="M230" s="66"/>
      <c r="N230" s="66"/>
      <c r="O230" s="66"/>
      <c r="P230" s="66"/>
      <c r="Q230" s="66"/>
    </row>
    <row r="231" spans="1:17" ht="12.9" customHeight="1" x14ac:dyDescent="0.55000000000000004">
      <c r="A231" s="10" t="s">
        <v>216</v>
      </c>
      <c r="B231" s="10" t="s">
        <v>224</v>
      </c>
      <c r="C231" s="4" t="s">
        <v>260</v>
      </c>
      <c r="D231" s="5">
        <v>1</v>
      </c>
      <c r="E231" s="5">
        <v>0</v>
      </c>
      <c r="F231" s="6">
        <v>0.21180555555555555</v>
      </c>
      <c r="G231" s="7">
        <f t="shared" si="18"/>
        <v>0.21180555555555555</v>
      </c>
      <c r="H231" s="4">
        <v>38.619999999999997</v>
      </c>
      <c r="I231" s="7">
        <f t="shared" si="16"/>
        <v>0</v>
      </c>
      <c r="J231" s="8">
        <f t="shared" si="17"/>
        <v>0</v>
      </c>
      <c r="K231" s="86">
        <f>IF(Tableau1[[#This Row],[Id Impression]]&lt;&gt;0,WORKDAY(stats!$L$2,Tableau1[[#This Row],[Id Impression]],Férier)-1,0)</f>
        <v>0</v>
      </c>
      <c r="L231" s="9"/>
      <c r="M231" s="66"/>
      <c r="N231" s="66"/>
      <c r="O231" s="66"/>
      <c r="P231" s="66"/>
      <c r="Q231" s="66"/>
    </row>
    <row r="232" spans="1:17" ht="12.9" customHeight="1" x14ac:dyDescent="0.55000000000000004">
      <c r="A232" s="14" t="s">
        <v>216</v>
      </c>
      <c r="B232" s="14" t="s">
        <v>224</v>
      </c>
      <c r="C232" s="17" t="s">
        <v>261</v>
      </c>
      <c r="D232" s="47">
        <v>1</v>
      </c>
      <c r="E232" s="47">
        <v>0</v>
      </c>
      <c r="F232" s="15">
        <v>0.22222222222222221</v>
      </c>
      <c r="G232" s="16">
        <f t="shared" si="18"/>
        <v>0.22222222222222221</v>
      </c>
      <c r="H232" s="17">
        <v>51.36</v>
      </c>
      <c r="I232" s="16">
        <f t="shared" si="16"/>
        <v>0</v>
      </c>
      <c r="J232" s="48">
        <f t="shared" si="17"/>
        <v>0</v>
      </c>
      <c r="K232" s="88">
        <f>IF(Tableau1[[#This Row],[Id Impression]]&lt;&gt;0,WORKDAY(stats!$L$2,Tableau1[[#This Row],[Id Impression]],Férier)-1,0)</f>
        <v>0</v>
      </c>
      <c r="L232" s="49"/>
      <c r="M232" s="66"/>
      <c r="N232" s="66"/>
      <c r="O232" s="66"/>
      <c r="P232" s="66"/>
      <c r="Q232" s="66"/>
    </row>
    <row r="233" spans="1:17" x14ac:dyDescent="0.55000000000000004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84"/>
      <c r="L233" s="67"/>
      <c r="M233" s="66"/>
      <c r="N233" s="66"/>
      <c r="O233" s="66"/>
      <c r="P233" s="66"/>
      <c r="Q233" s="66"/>
    </row>
    <row r="234" spans="1:17" x14ac:dyDescent="0.55000000000000004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84"/>
      <c r="L234" s="67"/>
      <c r="M234" s="66"/>
      <c r="N234" s="66"/>
      <c r="O234" s="66"/>
      <c r="P234" s="66"/>
      <c r="Q234" s="66"/>
    </row>
    <row r="235" spans="1:17" x14ac:dyDescent="0.55000000000000004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84"/>
      <c r="L235" s="67"/>
      <c r="M235" s="66"/>
      <c r="N235" s="66"/>
      <c r="O235" s="66"/>
      <c r="P235" s="66"/>
      <c r="Q235" s="66"/>
    </row>
    <row r="236" spans="1:17" x14ac:dyDescent="0.55000000000000004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84"/>
      <c r="L236" s="67"/>
      <c r="M236" s="66"/>
      <c r="N236" s="66"/>
      <c r="O236" s="66"/>
      <c r="P236" s="66"/>
      <c r="Q236" s="66"/>
    </row>
    <row r="237" spans="1:17" x14ac:dyDescent="0.55000000000000004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84"/>
      <c r="L237" s="67"/>
      <c r="M237" s="66"/>
      <c r="N237" s="66"/>
      <c r="O237" s="66"/>
      <c r="P237" s="66"/>
      <c r="Q237" s="66"/>
    </row>
    <row r="238" spans="1:17" x14ac:dyDescent="0.55000000000000004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84"/>
      <c r="L238" s="67"/>
      <c r="M238" s="66"/>
      <c r="N238" s="66"/>
      <c r="O238" s="66"/>
      <c r="P238" s="66"/>
      <c r="Q238" s="66"/>
    </row>
    <row r="239" spans="1:17" x14ac:dyDescent="0.55000000000000004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84"/>
      <c r="L239" s="67"/>
      <c r="M239" s="66"/>
      <c r="N239" s="66"/>
      <c r="O239" s="66"/>
      <c r="P239" s="66"/>
      <c r="Q239" s="66"/>
    </row>
    <row r="240" spans="1:17" x14ac:dyDescent="0.55000000000000004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84"/>
      <c r="L240" s="67"/>
      <c r="M240" s="66"/>
      <c r="N240" s="66"/>
      <c r="O240" s="66"/>
      <c r="P240" s="66"/>
      <c r="Q240" s="66"/>
    </row>
    <row r="241" spans="1:17" x14ac:dyDescent="0.55000000000000004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84"/>
      <c r="L241" s="67"/>
      <c r="M241" s="66"/>
      <c r="N241" s="66"/>
      <c r="O241" s="66"/>
      <c r="P241" s="66"/>
      <c r="Q241" s="66"/>
    </row>
    <row r="242" spans="1:17" x14ac:dyDescent="0.55000000000000004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84"/>
      <c r="L242" s="67"/>
      <c r="M242" s="66"/>
      <c r="N242" s="66"/>
      <c r="O242" s="66"/>
      <c r="P242" s="66"/>
      <c r="Q242" s="66"/>
    </row>
    <row r="243" spans="1:17" x14ac:dyDescent="0.55000000000000004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84"/>
      <c r="L243" s="67"/>
      <c r="M243" s="66"/>
      <c r="N243" s="66"/>
      <c r="O243" s="66"/>
      <c r="P243" s="66"/>
      <c r="Q243" s="66"/>
    </row>
    <row r="244" spans="1:17" x14ac:dyDescent="0.55000000000000004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84"/>
      <c r="L244" s="67"/>
      <c r="M244" s="66"/>
      <c r="N244" s="66"/>
      <c r="O244" s="66"/>
      <c r="P244" s="66"/>
      <c r="Q244" s="66"/>
    </row>
    <row r="245" spans="1:17" x14ac:dyDescent="0.55000000000000004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84"/>
      <c r="L245" s="67"/>
      <c r="M245" s="66"/>
      <c r="N245" s="66"/>
      <c r="O245" s="66"/>
      <c r="P245" s="66"/>
      <c r="Q245" s="66"/>
    </row>
    <row r="246" spans="1:17" x14ac:dyDescent="0.55000000000000004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84"/>
      <c r="L246" s="67"/>
      <c r="M246" s="66"/>
      <c r="N246" s="66"/>
      <c r="O246" s="66"/>
      <c r="P246" s="66"/>
      <c r="Q246" s="66"/>
    </row>
    <row r="247" spans="1:17" x14ac:dyDescent="0.55000000000000004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84"/>
      <c r="L247" s="67"/>
      <c r="M247" s="66"/>
      <c r="N247" s="66"/>
      <c r="O247" s="66"/>
      <c r="P247" s="66"/>
      <c r="Q247" s="66"/>
    </row>
    <row r="248" spans="1:17" x14ac:dyDescent="0.55000000000000004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84"/>
      <c r="L248" s="67"/>
      <c r="M248" s="66"/>
      <c r="N248" s="66"/>
      <c r="O248" s="66"/>
      <c r="P248" s="66"/>
      <c r="Q248" s="66"/>
    </row>
    <row r="249" spans="1:17" x14ac:dyDescent="0.55000000000000004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84"/>
      <c r="L249" s="67"/>
      <c r="M249" s="66"/>
      <c r="N249" s="66"/>
      <c r="O249" s="66"/>
      <c r="P249" s="66"/>
      <c r="Q249" s="66"/>
    </row>
    <row r="250" spans="1:17" x14ac:dyDescent="0.55000000000000004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84"/>
      <c r="L250" s="67"/>
      <c r="M250" s="66"/>
      <c r="N250" s="66"/>
      <c r="O250" s="66"/>
      <c r="P250" s="66"/>
      <c r="Q250" s="66"/>
    </row>
    <row r="251" spans="1:17" x14ac:dyDescent="0.55000000000000004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84"/>
      <c r="L251" s="67"/>
      <c r="M251" s="66"/>
      <c r="N251" s="66"/>
      <c r="O251" s="66"/>
      <c r="P251" s="66"/>
      <c r="Q251" s="66"/>
    </row>
    <row r="252" spans="1:17" x14ac:dyDescent="0.55000000000000004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84"/>
      <c r="L252" s="67"/>
      <c r="M252" s="66"/>
      <c r="N252" s="66"/>
      <c r="O252" s="66"/>
      <c r="P252" s="66"/>
      <c r="Q252" s="66"/>
    </row>
    <row r="253" spans="1:17" x14ac:dyDescent="0.55000000000000004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84"/>
      <c r="L253" s="67"/>
      <c r="M253" s="66"/>
      <c r="N253" s="66"/>
      <c r="O253" s="66"/>
      <c r="P253" s="66"/>
      <c r="Q253" s="66"/>
    </row>
    <row r="254" spans="1:17" x14ac:dyDescent="0.55000000000000004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84"/>
      <c r="L254" s="67"/>
      <c r="M254" s="66"/>
      <c r="N254" s="66"/>
      <c r="O254" s="66"/>
      <c r="P254" s="66"/>
      <c r="Q254" s="66"/>
    </row>
    <row r="255" spans="1:17" x14ac:dyDescent="0.55000000000000004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84"/>
      <c r="L255" s="67"/>
      <c r="M255" s="66"/>
      <c r="N255" s="66"/>
      <c r="O255" s="66"/>
      <c r="P255" s="66"/>
      <c r="Q255" s="66"/>
    </row>
    <row r="256" spans="1:17" x14ac:dyDescent="0.55000000000000004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84"/>
      <c r="L256" s="67"/>
      <c r="M256" s="66"/>
      <c r="N256" s="66"/>
      <c r="O256" s="66"/>
      <c r="P256" s="66"/>
      <c r="Q256" s="66"/>
    </row>
    <row r="257" spans="1:17" x14ac:dyDescent="0.55000000000000004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84"/>
      <c r="L257" s="67"/>
      <c r="M257" s="66"/>
      <c r="N257" s="66"/>
      <c r="O257" s="66"/>
      <c r="P257" s="66"/>
      <c r="Q257" s="66"/>
    </row>
    <row r="258" spans="1:17" x14ac:dyDescent="0.55000000000000004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84"/>
      <c r="L258" s="67"/>
      <c r="M258" s="66"/>
      <c r="N258" s="66"/>
      <c r="O258" s="66"/>
      <c r="P258" s="66"/>
      <c r="Q258" s="66"/>
    </row>
    <row r="259" spans="1:17" x14ac:dyDescent="0.55000000000000004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84"/>
      <c r="L259" s="67"/>
      <c r="M259" s="66"/>
      <c r="N259" s="66"/>
      <c r="O259" s="66"/>
      <c r="P259" s="66"/>
      <c r="Q259" s="66"/>
    </row>
    <row r="260" spans="1:17" x14ac:dyDescent="0.55000000000000004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84"/>
      <c r="L260" s="67"/>
      <c r="M260" s="66"/>
      <c r="N260" s="66"/>
      <c r="O260" s="66"/>
      <c r="P260" s="66"/>
      <c r="Q260" s="66"/>
    </row>
    <row r="261" spans="1:17" x14ac:dyDescent="0.55000000000000004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84"/>
      <c r="L261" s="67"/>
      <c r="M261" s="66"/>
      <c r="N261" s="66"/>
      <c r="O261" s="66"/>
      <c r="P261" s="66"/>
      <c r="Q261" s="66"/>
    </row>
    <row r="262" spans="1:17" x14ac:dyDescent="0.55000000000000004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84"/>
      <c r="L262" s="67"/>
      <c r="M262" s="66"/>
      <c r="N262" s="66"/>
      <c r="O262" s="66"/>
      <c r="P262" s="66"/>
      <c r="Q262" s="66"/>
    </row>
    <row r="263" spans="1:17" x14ac:dyDescent="0.55000000000000004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84"/>
      <c r="L263" s="67"/>
      <c r="M263" s="66"/>
      <c r="N263" s="66"/>
      <c r="O263" s="66"/>
      <c r="P263" s="66"/>
      <c r="Q263" s="66"/>
    </row>
    <row r="264" spans="1:17" x14ac:dyDescent="0.55000000000000004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84"/>
      <c r="L264" s="67"/>
      <c r="M264" s="66"/>
      <c r="N264" s="66"/>
      <c r="O264" s="66"/>
      <c r="P264" s="66"/>
      <c r="Q264" s="66"/>
    </row>
    <row r="265" spans="1:17" x14ac:dyDescent="0.55000000000000004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84"/>
      <c r="L265" s="67"/>
      <c r="M265" s="66"/>
      <c r="N265" s="66"/>
      <c r="O265" s="66"/>
      <c r="P265" s="66"/>
      <c r="Q265" s="66"/>
    </row>
    <row r="266" spans="1:17" x14ac:dyDescent="0.55000000000000004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84"/>
      <c r="L266" s="67"/>
      <c r="M266" s="66"/>
      <c r="N266" s="66"/>
      <c r="O266" s="66"/>
      <c r="P266" s="66"/>
      <c r="Q266" s="66"/>
    </row>
    <row r="267" spans="1:17" x14ac:dyDescent="0.55000000000000004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84"/>
      <c r="L267" s="67"/>
      <c r="M267" s="66"/>
      <c r="N267" s="66"/>
      <c r="O267" s="66"/>
      <c r="P267" s="66"/>
      <c r="Q267" s="66"/>
    </row>
    <row r="268" spans="1:17" x14ac:dyDescent="0.55000000000000004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84"/>
      <c r="L268" s="67"/>
      <c r="M268" s="66"/>
      <c r="N268" s="66"/>
      <c r="O268" s="66"/>
      <c r="P268" s="66"/>
      <c r="Q268" s="66"/>
    </row>
    <row r="269" spans="1:17" x14ac:dyDescent="0.55000000000000004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84"/>
      <c r="L269" s="67"/>
      <c r="M269" s="66"/>
      <c r="N269" s="66"/>
      <c r="O269" s="66"/>
      <c r="P269" s="66"/>
      <c r="Q269" s="66"/>
    </row>
    <row r="270" spans="1:17" x14ac:dyDescent="0.55000000000000004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84"/>
      <c r="L270" s="67"/>
      <c r="M270" s="66"/>
      <c r="N270" s="66"/>
      <c r="O270" s="66"/>
      <c r="P270" s="66"/>
      <c r="Q270" s="66"/>
    </row>
    <row r="271" spans="1:17" x14ac:dyDescent="0.55000000000000004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84"/>
      <c r="L271" s="67"/>
      <c r="M271" s="66"/>
      <c r="N271" s="66"/>
      <c r="O271" s="66"/>
      <c r="P271" s="66"/>
      <c r="Q271" s="66"/>
    </row>
    <row r="272" spans="1:17" x14ac:dyDescent="0.55000000000000004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84"/>
      <c r="L272" s="67"/>
      <c r="M272" s="66"/>
      <c r="N272" s="66"/>
      <c r="O272" s="66"/>
      <c r="P272" s="66"/>
      <c r="Q272" s="66"/>
    </row>
    <row r="273" spans="1:17" x14ac:dyDescent="0.55000000000000004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84"/>
      <c r="L273" s="67"/>
      <c r="M273" s="66"/>
      <c r="N273" s="66"/>
      <c r="O273" s="66"/>
      <c r="P273" s="66"/>
      <c r="Q273" s="66"/>
    </row>
    <row r="274" spans="1:17" x14ac:dyDescent="0.55000000000000004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84"/>
      <c r="L274" s="67"/>
      <c r="M274" s="66"/>
      <c r="N274" s="66"/>
      <c r="O274" s="66"/>
      <c r="P274" s="66"/>
      <c r="Q274" s="66"/>
    </row>
    <row r="275" spans="1:17" x14ac:dyDescent="0.55000000000000004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84"/>
      <c r="L275" s="67"/>
      <c r="M275" s="66"/>
      <c r="N275" s="66"/>
      <c r="O275" s="66"/>
      <c r="P275" s="66"/>
      <c r="Q275" s="66"/>
    </row>
    <row r="276" spans="1:17" x14ac:dyDescent="0.55000000000000004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84"/>
      <c r="L276" s="67"/>
      <c r="M276" s="66"/>
      <c r="N276" s="66"/>
      <c r="O276" s="66"/>
      <c r="P276" s="66"/>
      <c r="Q276" s="66"/>
    </row>
    <row r="277" spans="1:17" x14ac:dyDescent="0.55000000000000004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84"/>
      <c r="L277" s="67"/>
      <c r="M277" s="66"/>
      <c r="N277" s="66"/>
      <c r="O277" s="66"/>
      <c r="P277" s="66"/>
      <c r="Q277" s="66"/>
    </row>
    <row r="278" spans="1:17" x14ac:dyDescent="0.55000000000000004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84"/>
      <c r="L278" s="67"/>
      <c r="M278" s="66"/>
      <c r="N278" s="66"/>
      <c r="O278" s="66"/>
      <c r="P278" s="66"/>
      <c r="Q278" s="66"/>
    </row>
    <row r="279" spans="1:17" x14ac:dyDescent="0.55000000000000004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84"/>
      <c r="L279" s="67"/>
      <c r="M279" s="66"/>
      <c r="N279" s="66"/>
      <c r="O279" s="66"/>
      <c r="P279" s="66"/>
      <c r="Q279" s="66"/>
    </row>
    <row r="280" spans="1:17" x14ac:dyDescent="0.55000000000000004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84"/>
      <c r="L280" s="67"/>
      <c r="M280" s="66"/>
      <c r="N280" s="66"/>
      <c r="O280" s="66"/>
      <c r="P280" s="66"/>
      <c r="Q280" s="66"/>
    </row>
    <row r="281" spans="1:17" x14ac:dyDescent="0.55000000000000004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84"/>
      <c r="L281" s="67"/>
      <c r="M281" s="66"/>
      <c r="N281" s="66"/>
      <c r="O281" s="66"/>
      <c r="P281" s="66"/>
      <c r="Q281" s="66"/>
    </row>
    <row r="282" spans="1:17" x14ac:dyDescent="0.55000000000000004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84"/>
      <c r="L282" s="67"/>
      <c r="M282" s="66"/>
      <c r="N282" s="66"/>
      <c r="O282" s="66"/>
      <c r="P282" s="66"/>
      <c r="Q282" s="66"/>
    </row>
    <row r="283" spans="1:17" x14ac:dyDescent="0.55000000000000004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84"/>
      <c r="L283" s="67"/>
      <c r="M283" s="66"/>
      <c r="N283" s="66"/>
      <c r="O283" s="66"/>
      <c r="P283" s="66"/>
      <c r="Q283" s="66"/>
    </row>
    <row r="284" spans="1:17" x14ac:dyDescent="0.55000000000000004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84"/>
      <c r="L284" s="67"/>
      <c r="M284" s="66"/>
      <c r="N284" s="66"/>
      <c r="O284" s="66"/>
      <c r="P284" s="66"/>
      <c r="Q284" s="66"/>
    </row>
    <row r="285" spans="1:17" x14ac:dyDescent="0.55000000000000004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84"/>
      <c r="L285" s="67"/>
      <c r="M285" s="66"/>
      <c r="N285" s="66"/>
      <c r="O285" s="66"/>
      <c r="P285" s="66"/>
      <c r="Q285" s="66"/>
    </row>
    <row r="286" spans="1:17" x14ac:dyDescent="0.55000000000000004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84"/>
      <c r="L286" s="67"/>
      <c r="M286" s="66"/>
      <c r="N286" s="66"/>
      <c r="O286" s="66"/>
      <c r="P286" s="66"/>
      <c r="Q286" s="66"/>
    </row>
    <row r="287" spans="1:17" x14ac:dyDescent="0.55000000000000004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84"/>
      <c r="L287" s="67"/>
      <c r="M287" s="66"/>
      <c r="N287" s="66"/>
      <c r="O287" s="66"/>
      <c r="P287" s="66"/>
      <c r="Q287" s="66"/>
    </row>
    <row r="288" spans="1:17" x14ac:dyDescent="0.55000000000000004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84"/>
      <c r="L288" s="67"/>
      <c r="M288" s="66"/>
      <c r="N288" s="66"/>
      <c r="O288" s="66"/>
      <c r="P288" s="66"/>
      <c r="Q288" s="66"/>
    </row>
    <row r="289" spans="1:17" x14ac:dyDescent="0.55000000000000004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84"/>
      <c r="L289" s="67"/>
      <c r="M289" s="66"/>
      <c r="N289" s="66"/>
      <c r="O289" s="66"/>
      <c r="P289" s="66"/>
      <c r="Q289" s="66"/>
    </row>
    <row r="290" spans="1:17" x14ac:dyDescent="0.55000000000000004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84"/>
      <c r="L290" s="67"/>
      <c r="M290" s="66"/>
      <c r="N290" s="66"/>
      <c r="O290" s="66"/>
      <c r="P290" s="66"/>
      <c r="Q290" s="66"/>
    </row>
    <row r="291" spans="1:17" x14ac:dyDescent="0.55000000000000004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84"/>
      <c r="L291" s="67"/>
      <c r="M291" s="66"/>
      <c r="N291" s="66"/>
      <c r="O291" s="66"/>
      <c r="P291" s="66"/>
      <c r="Q291" s="66"/>
    </row>
    <row r="292" spans="1:17" x14ac:dyDescent="0.55000000000000004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84"/>
      <c r="L292" s="67"/>
      <c r="M292" s="66"/>
      <c r="N292" s="66"/>
      <c r="O292" s="66"/>
      <c r="P292" s="66"/>
      <c r="Q292" s="66"/>
    </row>
    <row r="293" spans="1:17" x14ac:dyDescent="0.55000000000000004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84"/>
      <c r="L293" s="67"/>
      <c r="M293" s="66"/>
      <c r="N293" s="66"/>
      <c r="O293" s="66"/>
      <c r="P293" s="66"/>
      <c r="Q293" s="66"/>
    </row>
    <row r="294" spans="1:17" x14ac:dyDescent="0.55000000000000004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84"/>
      <c r="L294" s="67"/>
      <c r="M294" s="66"/>
      <c r="N294" s="66"/>
      <c r="O294" s="66"/>
      <c r="P294" s="66"/>
      <c r="Q294" s="66"/>
    </row>
    <row r="295" spans="1:17" x14ac:dyDescent="0.55000000000000004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84"/>
      <c r="L295" s="67"/>
      <c r="M295" s="66"/>
      <c r="N295" s="66"/>
      <c r="O295" s="66"/>
      <c r="P295" s="66"/>
      <c r="Q295" s="66"/>
    </row>
    <row r="296" spans="1:17" x14ac:dyDescent="0.55000000000000004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84"/>
      <c r="L296" s="67"/>
      <c r="M296" s="66"/>
      <c r="N296" s="66"/>
      <c r="O296" s="66"/>
      <c r="P296" s="66"/>
      <c r="Q296" s="66"/>
    </row>
    <row r="297" spans="1:17" x14ac:dyDescent="0.55000000000000004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84"/>
      <c r="L297" s="67"/>
      <c r="M297" s="66"/>
      <c r="N297" s="66"/>
      <c r="O297" s="66"/>
      <c r="P297" s="66"/>
      <c r="Q297" s="66"/>
    </row>
    <row r="298" spans="1:17" x14ac:dyDescent="0.55000000000000004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84"/>
      <c r="L298" s="67"/>
      <c r="M298" s="66"/>
      <c r="N298" s="66"/>
      <c r="O298" s="66"/>
      <c r="P298" s="66"/>
      <c r="Q298" s="66"/>
    </row>
    <row r="299" spans="1:17" x14ac:dyDescent="0.55000000000000004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84"/>
      <c r="L299" s="67"/>
      <c r="M299" s="66"/>
      <c r="N299" s="66"/>
      <c r="O299" s="66"/>
      <c r="P299" s="66"/>
      <c r="Q299" s="66"/>
    </row>
    <row r="300" spans="1:17" x14ac:dyDescent="0.55000000000000004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84"/>
      <c r="L300" s="67"/>
      <c r="M300" s="66"/>
      <c r="N300" s="66"/>
      <c r="O300" s="66"/>
      <c r="P300" s="66"/>
      <c r="Q300" s="66"/>
    </row>
    <row r="301" spans="1:17" x14ac:dyDescent="0.55000000000000004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84"/>
      <c r="L301" s="67"/>
      <c r="M301" s="66"/>
      <c r="N301" s="66"/>
      <c r="O301" s="66"/>
      <c r="P301" s="66"/>
      <c r="Q301" s="66"/>
    </row>
    <row r="302" spans="1:17" x14ac:dyDescent="0.55000000000000004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84"/>
      <c r="L302" s="67"/>
      <c r="M302" s="66"/>
      <c r="N302" s="66"/>
      <c r="O302" s="66"/>
      <c r="P302" s="66"/>
      <c r="Q302" s="66"/>
    </row>
    <row r="303" spans="1:17" x14ac:dyDescent="0.55000000000000004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84"/>
      <c r="L303" s="67"/>
      <c r="M303" s="66"/>
      <c r="N303" s="66"/>
      <c r="O303" s="66"/>
      <c r="P303" s="66"/>
      <c r="Q303" s="66"/>
    </row>
    <row r="304" spans="1:17" x14ac:dyDescent="0.55000000000000004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84"/>
      <c r="L304" s="67"/>
      <c r="M304" s="66"/>
      <c r="N304" s="66"/>
      <c r="O304" s="66"/>
      <c r="P304" s="66"/>
      <c r="Q304" s="66"/>
    </row>
    <row r="305" spans="1:17" x14ac:dyDescent="0.55000000000000004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84"/>
      <c r="L305" s="67"/>
      <c r="M305" s="66"/>
      <c r="N305" s="66"/>
      <c r="O305" s="66"/>
      <c r="P305" s="66"/>
      <c r="Q305" s="66"/>
    </row>
    <row r="306" spans="1:17" x14ac:dyDescent="0.55000000000000004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84"/>
      <c r="L306" s="67"/>
      <c r="M306" s="66"/>
      <c r="N306" s="66"/>
      <c r="O306" s="66"/>
      <c r="P306" s="66"/>
      <c r="Q306" s="66"/>
    </row>
    <row r="307" spans="1:17" x14ac:dyDescent="0.55000000000000004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84"/>
      <c r="L307" s="67"/>
      <c r="M307" s="66"/>
      <c r="N307" s="66"/>
      <c r="O307" s="66"/>
      <c r="P307" s="66"/>
      <c r="Q307" s="66"/>
    </row>
    <row r="308" spans="1:17" x14ac:dyDescent="0.55000000000000004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84"/>
      <c r="L308" s="67"/>
      <c r="M308" s="66"/>
      <c r="N308" s="66"/>
      <c r="O308" s="66"/>
      <c r="P308" s="66"/>
      <c r="Q308" s="66"/>
    </row>
    <row r="309" spans="1:17" x14ac:dyDescent="0.55000000000000004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84"/>
      <c r="L309" s="67"/>
      <c r="M309" s="66"/>
      <c r="N309" s="66"/>
      <c r="O309" s="66"/>
      <c r="P309" s="66"/>
      <c r="Q309" s="66"/>
    </row>
    <row r="310" spans="1:17" x14ac:dyDescent="0.55000000000000004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84"/>
      <c r="L310" s="67"/>
      <c r="M310" s="66"/>
      <c r="N310" s="66"/>
      <c r="O310" s="66"/>
      <c r="P310" s="66"/>
      <c r="Q310" s="66"/>
    </row>
  </sheetData>
  <mergeCells count="7">
    <mergeCell ref="H5:I6"/>
    <mergeCell ref="F1:F2"/>
    <mergeCell ref="G1:G2"/>
    <mergeCell ref="H1:I2"/>
    <mergeCell ref="F3:F4"/>
    <mergeCell ref="G3:G4"/>
    <mergeCell ref="H3:I4"/>
  </mergeCells>
  <conditionalFormatting sqref="C287:D65536 C7:D7 C8:C226 C233:C286">
    <cfRule type="duplicateValues" dxfId="25" priority="9" stopIfTrue="1"/>
  </conditionalFormatting>
  <conditionalFormatting sqref="C227">
    <cfRule type="duplicateValues" dxfId="24" priority="8" stopIfTrue="1"/>
  </conditionalFormatting>
  <conditionalFormatting sqref="C228">
    <cfRule type="duplicateValues" dxfId="23" priority="7" stopIfTrue="1"/>
  </conditionalFormatting>
  <conditionalFormatting sqref="C229">
    <cfRule type="duplicateValues" dxfId="22" priority="6" stopIfTrue="1"/>
  </conditionalFormatting>
  <conditionalFormatting sqref="C230">
    <cfRule type="duplicateValues" dxfId="21" priority="5" stopIfTrue="1"/>
  </conditionalFormatting>
  <conditionalFormatting sqref="C231">
    <cfRule type="duplicateValues" dxfId="20" priority="4" stopIfTrue="1"/>
  </conditionalFormatting>
  <conditionalFormatting sqref="C232">
    <cfRule type="duplicateValues" dxfId="19" priority="3" stopIfTrue="1"/>
  </conditionalFormatting>
  <conditionalFormatting sqref="E1:E1048576">
    <cfRule type="cellIs" dxfId="18" priority="2" operator="between">
      <formula>2</formula>
      <formula>10</formula>
    </cfRule>
  </conditionalFormatting>
  <conditionalFormatting sqref="C8:C232">
    <cfRule type="duplicateValues" dxfId="17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herche_STL">
                <anchor moveWithCells="1" sizeWithCells="1">
                  <from>
                    <xdr:col>7</xdr:col>
                    <xdr:colOff>95250</xdr:colOff>
                    <xdr:row>0</xdr:row>
                    <xdr:rowOff>57150</xdr:rowOff>
                  </from>
                  <to>
                    <xdr:col>8</xdr:col>
                    <xdr:colOff>1238250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cherche_ID">
                <anchor moveWithCells="1" sizeWithCells="1">
                  <from>
                    <xdr:col>7</xdr:col>
                    <xdr:colOff>87630</xdr:colOff>
                    <xdr:row>2</xdr:row>
                    <xdr:rowOff>57150</xdr:rowOff>
                  </from>
                  <to>
                    <xdr:col>8</xdr:col>
                    <xdr:colOff>1245870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Init_filtres">
                <anchor moveWithCells="1" sizeWithCells="1">
                  <from>
                    <xdr:col>7</xdr:col>
                    <xdr:colOff>80010</xdr:colOff>
                    <xdr:row>4</xdr:row>
                    <xdr:rowOff>38100</xdr:rowOff>
                  </from>
                  <to>
                    <xdr:col>8</xdr:col>
                    <xdr:colOff>1242060</xdr:colOff>
                    <xdr:row>5</xdr:row>
                    <xdr:rowOff>87630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X110"/>
  <sheetViews>
    <sheetView topLeftCell="A97" zoomScaleNormal="100" workbookViewId="0">
      <selection activeCell="J7" sqref="J7"/>
    </sheetView>
  </sheetViews>
  <sheetFormatPr baseColWidth="10" defaultRowHeight="14.4" x14ac:dyDescent="0.55000000000000004"/>
  <cols>
    <col min="4" max="4" width="19.15625" bestFit="1" customWidth="1"/>
    <col min="5" max="5" width="18.1015625" bestFit="1" customWidth="1"/>
    <col min="6" max="6" width="13.26171875" bestFit="1" customWidth="1"/>
    <col min="7" max="7" width="12.20703125" bestFit="1" customWidth="1"/>
    <col min="8" max="8" width="12.3125" bestFit="1" customWidth="1"/>
    <col min="9" max="9" width="11.05078125" customWidth="1"/>
    <col min="11" max="17" width="4.3671875" customWidth="1"/>
    <col min="18" max="24" width="3.3671875" customWidth="1"/>
  </cols>
  <sheetData>
    <row r="1" spans="1:24" ht="15.6" x14ac:dyDescent="0.55000000000000004">
      <c r="A1" s="25" t="s">
        <v>262</v>
      </c>
      <c r="B1" s="26">
        <v>0.16666666666666666</v>
      </c>
      <c r="C1" s="26" t="s">
        <v>263</v>
      </c>
      <c r="D1" s="121" t="s">
        <v>264</v>
      </c>
      <c r="E1" s="122"/>
      <c r="F1" s="122"/>
      <c r="G1" s="122"/>
      <c r="H1" s="122"/>
      <c r="I1" s="122"/>
      <c r="J1" s="123"/>
      <c r="K1" s="124" t="s">
        <v>265</v>
      </c>
      <c r="L1" s="125"/>
      <c r="M1" s="125"/>
      <c r="N1" s="125"/>
      <c r="O1" s="125"/>
      <c r="P1" s="125"/>
      <c r="Q1" s="126"/>
      <c r="R1" s="121" t="s">
        <v>266</v>
      </c>
      <c r="S1" s="122"/>
      <c r="T1" s="122"/>
      <c r="U1" s="122"/>
      <c r="V1" s="122"/>
      <c r="W1" s="122"/>
      <c r="X1" s="123"/>
    </row>
    <row r="2" spans="1:24" ht="14.7" thickBot="1" x14ac:dyDescent="0.6">
      <c r="A2" s="27" t="s">
        <v>267</v>
      </c>
      <c r="B2" s="28" t="s">
        <v>12</v>
      </c>
      <c r="C2" s="29" t="s">
        <v>268</v>
      </c>
      <c r="D2" s="30">
        <v>1</v>
      </c>
      <c r="E2" s="28">
        <v>2</v>
      </c>
      <c r="F2" s="28">
        <v>3</v>
      </c>
      <c r="G2" s="28">
        <v>4</v>
      </c>
      <c r="H2" s="28">
        <v>5</v>
      </c>
      <c r="I2" s="28">
        <v>6</v>
      </c>
      <c r="J2" s="31">
        <v>7</v>
      </c>
      <c r="K2" s="32">
        <v>1</v>
      </c>
      <c r="L2" s="33">
        <v>2</v>
      </c>
      <c r="M2" s="33">
        <v>3</v>
      </c>
      <c r="N2" s="33">
        <v>4</v>
      </c>
      <c r="O2" s="33">
        <v>5</v>
      </c>
      <c r="P2" s="33">
        <v>6</v>
      </c>
      <c r="Q2" s="34">
        <v>7</v>
      </c>
      <c r="R2" s="30">
        <v>1</v>
      </c>
      <c r="S2" s="28">
        <v>2</v>
      </c>
      <c r="T2" s="28">
        <v>3</v>
      </c>
      <c r="U2" s="28">
        <v>4</v>
      </c>
      <c r="V2" s="28">
        <v>5</v>
      </c>
      <c r="W2" s="28">
        <v>6</v>
      </c>
      <c r="X2" s="31">
        <v>7</v>
      </c>
    </row>
    <row r="3" spans="1:24" x14ac:dyDescent="0.55000000000000004">
      <c r="A3" s="35">
        <v>1</v>
      </c>
      <c r="B3" s="36">
        <f>SUM(K3:Q3)</f>
        <v>0.16875000000000001</v>
      </c>
      <c r="C3" s="37">
        <f t="array" ref="C3:C110">FREQUENCY(Id_Impression,A3:A110)</f>
        <v>4</v>
      </c>
      <c r="D3" s="38" t="str">
        <f t="array" ref="D3">IFERROR(INDEX(Fichier_initial,SMALL(IF(Id_Impression=$A3,ROW(Fichier_initial)-MIN(ROW(Fichier_initial))+1),COLUMNS($A3:A3))),"")</f>
        <v>Auriculaire3</v>
      </c>
      <c r="E3" s="38" t="str">
        <f t="array" ref="E3">IFERROR(INDEX(Fichier_initial,SMALL(IF(Id_Impression=$A3,ROW(Fichier_initial)-MIN(ROW(Fichier_initial))+1),COLUMNS($A3:B3))),"")</f>
        <v>leftcoverfinger1</v>
      </c>
      <c r="F3" s="38" t="str">
        <f t="array" ref="F3">IFERROR(INDEX(Fichier_initial,SMALL(IF(Id_Impression=$A3,ROW(Fichier_initial)-MIN(ROW(Fichier_initial))+1),COLUMNS($A3:C3))),"")</f>
        <v>ringfinger3</v>
      </c>
      <c r="G3" s="38" t="str">
        <f t="array" ref="G3">IFERROR(INDEX(Fichier_initial,SMALL(IF(Id_Impression=$A3,ROW(Fichier_initial)-MIN(ROW(Fichier_initial))+1),COLUMNS($A3:D3))),"")</f>
        <v/>
      </c>
      <c r="H3" s="38" t="str">
        <f t="array" ref="H3">IFERROR(INDEX(Fichier_initial,SMALL(IF(Id_Impression=$A3,ROW(Fichier_initial)-MIN(ROW(Fichier_initial))+1),COLUMNS($A3:E3))),"")</f>
        <v/>
      </c>
      <c r="I3" s="38" t="str">
        <f t="array" ref="I3">IFERROR(INDEX(Fichier_initial,SMALL(IF(Id_Impression=$A3,ROW(Fichier_initial)-MIN(ROW(Fichier_initial))+1),COLUMNS($A3:F3))),"")</f>
        <v/>
      </c>
      <c r="J3" s="38" t="str">
        <f t="array" ref="J3">IFERROR(INDEX(Fichier_initial,SMALL(IF(Id_Impression=$A3,ROW(Fichier_initial)-MIN(ROW(Fichier_initial))+1),COLUMNS($A3:G3))),"")</f>
        <v/>
      </c>
      <c r="K3" s="39">
        <f t="array" ref="K3">IFERROR(INDEX(Temps_Total,SMALL(IF(Id_Impression=$A3,ROW(Temps_Total)-MIN(ROW(Temps_Total))+1),COLUMNS($A$3:A3))),"")</f>
        <v>5.1388888888888894E-2</v>
      </c>
      <c r="L3" s="39">
        <f t="array" ref="L3">IFERROR(INDEX(Temps_Total,SMALL(IF(Id_Impression=$A3,ROW(Temps_Total)-MIN(ROW(Temps_Total))+1),COLUMNS($A$3:B3))),"")</f>
        <v>5.4166666666666669E-2</v>
      </c>
      <c r="M3" s="39">
        <f t="array" ref="M3">IFERROR(INDEX(Temps_Total,SMALL(IF(Id_Impression=$A3,ROW(Temps_Total)-MIN(ROW(Temps_Total))+1),COLUMNS($A$3:C3))),"")</f>
        <v>6.3194444444444442E-2</v>
      </c>
      <c r="N3" s="39" t="str">
        <f t="array" ref="N3">IFERROR(INDEX(Temps_Total,SMALL(IF(Id_Impression=$A3,ROW(Temps_Total)-MIN(ROW(Temps_Total))+1),COLUMNS($A$3:D3))),"")</f>
        <v/>
      </c>
      <c r="O3" s="39" t="str">
        <f t="array" ref="O3">IFERROR(INDEX(Temps_Total,SMALL(IF(Id_Impression=$A3,ROW(Temps_Total)-MIN(ROW(Temps_Total))+1),COLUMNS($A$3:E3))),"")</f>
        <v/>
      </c>
      <c r="P3" s="39" t="str">
        <f t="array" ref="P3">IFERROR(INDEX(Temps_Total,SMALL(IF(Id_Impression=$A3,ROW(Temps_Total)-MIN(ROW(Temps_Total))+1),COLUMNS($A$3:F3))),"")</f>
        <v/>
      </c>
      <c r="Q3" s="39" t="str">
        <f t="array" ref="Q3">IFERROR(INDEX(Temps_Total,SMALL(IF(Id_Impression=$A3,ROW(Temps_Total)-MIN(ROW(Temps_Total))+1),COLUMNS($A$3:G3))),"")</f>
        <v/>
      </c>
      <c r="R3" s="38">
        <f t="array" ref="R3">IFERROR(INDEX(Quantité_à_imprimer_12_2017,SMALL(IF(Id_Impression=$A3,ROW(Quantité_à_imprimer_12_2017)-MIN(ROW(Quantité_à_imprimer_12_2017))+1),COLUMNS($A$3:A3))),"")</f>
        <v>1</v>
      </c>
      <c r="S3" s="38">
        <f t="array" ref="S3">IFERROR(INDEX(Quantité_à_imprimer_12_2017,SMALL(IF(Id_Impression=$A3,ROW(Quantité_à_imprimer_12_2017)-MIN(ROW(Quantité_à_imprimer_12_2017))+1),COLUMNS($A$3:B3))),"")</f>
        <v>1</v>
      </c>
      <c r="T3" s="38">
        <f t="array" ref="T3">IFERROR(INDEX(Quantité_à_imprimer_12_2017,SMALL(IF(Id_Impression=$A3,ROW(Quantité_à_imprimer_12_2017)-MIN(ROW(Quantité_à_imprimer_12_2017))+1),COLUMNS($A$3:C3))),"")</f>
        <v>1</v>
      </c>
      <c r="U3" s="38" t="str">
        <f t="array" ref="U3">IFERROR(INDEX(Quantité_à_imprimer_12_2017,SMALL(IF(Id_Impression=$A3,ROW(Quantité_à_imprimer_12_2017)-MIN(ROW(Quantité_à_imprimer_12_2017))+1),COLUMNS($A$3:D3))),"")</f>
        <v/>
      </c>
      <c r="V3" s="38" t="str">
        <f t="array" ref="V3">IFERROR(INDEX(Quantité_à_imprimer_12_2017,SMALL(IF(Id_Impression=$A3,ROW(Quantité_à_imprimer_12_2017)-MIN(ROW(Quantité_à_imprimer_12_2017))+1),COLUMNS($A$3:E3))),"")</f>
        <v/>
      </c>
      <c r="W3" s="38" t="str">
        <f t="array" ref="W3">IFERROR(INDEX(Quantité_à_imprimer_12_2017,SMALL(IF(Id_Impression=$A3,ROW(Quantité_à_imprimer_12_2017)-MIN(ROW(Quantité_à_imprimer_12_2017))+1),COLUMNS($A$3:F3))),"")</f>
        <v/>
      </c>
      <c r="X3" s="38" t="str">
        <f t="array" ref="X3">IFERROR(INDEX(Quantité_à_imprimer_12_2017,SMALL(IF(Id_Impression=$A3,ROW(Quantité_à_imprimer_12_2017)-MIN(ROW(Quantité_à_imprimer_12_2017))+1),COLUMNS($A$3:G3))),"")</f>
        <v/>
      </c>
    </row>
    <row r="4" spans="1:24" x14ac:dyDescent="0.55000000000000004">
      <c r="A4" s="40">
        <v>2</v>
      </c>
      <c r="B4" s="36">
        <f t="shared" ref="B4:B67" si="0">SUM(K4:Q4)</f>
        <v>0.1423611111111111</v>
      </c>
      <c r="C4" s="37">
        <v>2</v>
      </c>
      <c r="D4" s="38" t="str">
        <f t="array" ref="D4">IFERROR(INDEX(Fichier_initial,SMALL(IF(Id_Impression=$A4,ROW(Fichier_initial)-MIN(ROW(Fichier_initial))+1),COLUMNS($A4:A4))),"")</f>
        <v>Index3</v>
      </c>
      <c r="E4" s="38" t="str">
        <f t="array" ref="E4">IFERROR(INDEX(Fichier_initial,SMALL(IF(Id_Impression=$A4,ROW(Fichier_initial)-MIN(ROW(Fichier_initial))+1),COLUMNS($A4:B4))),"")</f>
        <v>Bolt_entretoise7</v>
      </c>
      <c r="F4" s="38" t="str">
        <f t="array" ref="F4">IFERROR(INDEX(Fichier_initial,SMALL(IF(Id_Impression=$A4,ROW(Fichier_initial)-MIN(ROW(Fichier_initial))+1),COLUMNS($A4:C4))),"")</f>
        <v/>
      </c>
      <c r="G4" s="38" t="str">
        <f t="array" ref="G4">IFERROR(INDEX(Fichier_initial,SMALL(IF(Id_Impression=$A4,ROW(Fichier_initial)-MIN(ROW(Fichier_initial))+1),COLUMNS($A4:D4))),"")</f>
        <v/>
      </c>
      <c r="H4" s="38" t="str">
        <f t="array" ref="H4">IFERROR(INDEX(Fichier_initial,SMALL(IF(Id_Impression=$A4,ROW(Fichier_initial)-MIN(ROW(Fichier_initial))+1),COLUMNS($A4:E4))),"")</f>
        <v/>
      </c>
      <c r="I4" s="38" t="str">
        <f t="array" ref="I4">IFERROR(INDEX(Fichier_initial,SMALL(IF(Id_Impression=$A4,ROW(Fichier_initial)-MIN(ROW(Fichier_initial))+1),COLUMNS($A4:F4))),"")</f>
        <v/>
      </c>
      <c r="J4" s="38" t="str">
        <f t="array" ref="J4">IFERROR(INDEX(Fichier_initial,SMALL(IF(Id_Impression=$A4,ROW(Fichier_initial)-MIN(ROW(Fichier_initial))+1),COLUMNS($A4:G4))),"")</f>
        <v/>
      </c>
      <c r="K4" s="39">
        <f t="array" ref="K4">IFERROR(INDEX(Temps_Total,SMALL(IF(Id_Impression=$A4,ROW(Temps_Total)-MIN(ROW(Temps_Total))+1),COLUMNS($A$3:A4))),"")</f>
        <v>7.013888888888889E-2</v>
      </c>
      <c r="L4" s="39">
        <f t="array" ref="L4">IFERROR(INDEX(Temps_Total,SMALL(IF(Id_Impression=$A4,ROW(Temps_Total)-MIN(ROW(Temps_Total))+1),COLUMNS($A$3:B4))),"")</f>
        <v>7.2222222222222229E-2</v>
      </c>
      <c r="M4" s="39" t="str">
        <f t="array" ref="M4">IFERROR(INDEX(Temps_Total,SMALL(IF(Id_Impression=$A4,ROW(Temps_Total)-MIN(ROW(Temps_Total))+1),COLUMNS($A$3:C4))),"")</f>
        <v/>
      </c>
      <c r="N4" s="39" t="str">
        <f t="array" ref="N4">IFERROR(INDEX(Temps_Total,SMALL(IF(Id_Impression=$A4,ROW(Temps_Total)-MIN(ROW(Temps_Total))+1),COLUMNS($A$3:D4))),"")</f>
        <v/>
      </c>
      <c r="O4" s="39" t="str">
        <f t="array" ref="O4">IFERROR(INDEX(Temps_Total,SMALL(IF(Id_Impression=$A4,ROW(Temps_Total)-MIN(ROW(Temps_Total))+1),COLUMNS($A$3:E4))),"")</f>
        <v/>
      </c>
      <c r="P4" s="39" t="str">
        <f t="array" ref="P4">IFERROR(INDEX(Temps_Total,SMALL(IF(Id_Impression=$A4,ROW(Temps_Total)-MIN(ROW(Temps_Total))+1),COLUMNS($A$3:F4))),"")</f>
        <v/>
      </c>
      <c r="Q4" s="39" t="str">
        <f t="array" ref="Q4">IFERROR(INDEX(Temps_Total,SMALL(IF(Id_Impression=$A4,ROW(Temps_Total)-MIN(ROW(Temps_Total))+1),COLUMNS($A$3:G4))),"")</f>
        <v/>
      </c>
      <c r="R4" s="38">
        <f t="array" ref="R4">IFERROR(INDEX(Quantité_à_imprimer_12_2017,SMALL(IF(Id_Impression=$A4,ROW(Quantité_à_imprimer_12_2017)-MIN(ROW(Quantité_à_imprimer_12_2017))+1),COLUMNS($A$3:A4))),"")</f>
        <v>1</v>
      </c>
      <c r="S4" s="38">
        <f t="array" ref="S4">IFERROR(INDEX(Quantité_à_imprimer_12_2017,SMALL(IF(Id_Impression=$A4,ROW(Quantité_à_imprimer_12_2017)-MIN(ROW(Quantité_à_imprimer_12_2017))+1),COLUMNS($A$3:B4))),"")</f>
        <v>1</v>
      </c>
      <c r="T4" s="38" t="str">
        <f t="array" ref="T4">IFERROR(INDEX(Quantité_à_imprimer_12_2017,SMALL(IF(Id_Impression=$A4,ROW(Quantité_à_imprimer_12_2017)-MIN(ROW(Quantité_à_imprimer_12_2017))+1),COLUMNS($A$3:C4))),"")</f>
        <v/>
      </c>
      <c r="U4" s="38" t="str">
        <f t="array" ref="U4">IFERROR(INDEX(Quantité_à_imprimer_12_2017,SMALL(IF(Id_Impression=$A4,ROW(Quantité_à_imprimer_12_2017)-MIN(ROW(Quantité_à_imprimer_12_2017))+1),COLUMNS($A$3:D4))),"")</f>
        <v/>
      </c>
      <c r="V4" s="38" t="str">
        <f t="array" ref="V4">IFERROR(INDEX(Quantité_à_imprimer_12_2017,SMALL(IF(Id_Impression=$A4,ROW(Quantité_à_imprimer_12_2017)-MIN(ROW(Quantité_à_imprimer_12_2017))+1),COLUMNS($A$3:E4))),"")</f>
        <v/>
      </c>
      <c r="W4" s="38" t="str">
        <f t="array" ref="W4">IFERROR(INDEX(Quantité_à_imprimer_12_2017,SMALL(IF(Id_Impression=$A4,ROW(Quantité_à_imprimer_12_2017)-MIN(ROW(Quantité_à_imprimer_12_2017))+1),COLUMNS($A$3:F4))),"")</f>
        <v/>
      </c>
      <c r="X4" s="38" t="str">
        <f t="array" ref="X4">IFERROR(INDEX(Quantité_à_imprimer_12_2017,SMALL(IF(Id_Impression=$A4,ROW(Quantité_à_imprimer_12_2017)-MIN(ROW(Quantité_à_imprimer_12_2017))+1),COLUMNS($A$3:G4))),"")</f>
        <v/>
      </c>
    </row>
    <row r="5" spans="1:24" x14ac:dyDescent="0.55000000000000004">
      <c r="A5" s="40">
        <v>3</v>
      </c>
      <c r="B5" s="36">
        <f t="shared" si="0"/>
        <v>0.18333333333333335</v>
      </c>
      <c r="C5" s="37">
        <v>2</v>
      </c>
      <c r="D5" s="38" t="str">
        <f t="array" ref="D5">IFERROR(INDEX(Fichier_initial,SMALL(IF(Id_Impression=$A5,ROW(Fichier_initial)-MIN(ROW(Fichier_initial))+1),COLUMNS($A5:A5))),"")</f>
        <v>LeftRobCap3V2</v>
      </c>
      <c r="E5" s="38" t="str">
        <f t="array" ref="E5">IFERROR(INDEX(Fichier_initial,SMALL(IF(Id_Impression=$A5,ROW(Fichier_initial)-MIN(ROW(Fichier_initial))+1),COLUMNS($A5:B5))),"")</f>
        <v>lefthumb5</v>
      </c>
      <c r="F5" s="38" t="str">
        <f t="array" ref="F5">IFERROR(INDEX(Fichier_initial,SMALL(IF(Id_Impression=$A5,ROW(Fichier_initial)-MIN(ROW(Fichier_initial))+1),COLUMNS($A5:C5))),"")</f>
        <v/>
      </c>
      <c r="G5" s="38" t="str">
        <f t="array" ref="G5">IFERROR(INDEX(Fichier_initial,SMALL(IF(Id_Impression=$A5,ROW(Fichier_initial)-MIN(ROW(Fichier_initial))+1),COLUMNS($A5:D5))),"")</f>
        <v/>
      </c>
      <c r="H5" s="38" t="str">
        <f t="array" ref="H5">IFERROR(INDEX(Fichier_initial,SMALL(IF(Id_Impression=$A5,ROW(Fichier_initial)-MIN(ROW(Fichier_initial))+1),COLUMNS($A5:E5))),"")</f>
        <v/>
      </c>
      <c r="I5" s="38" t="str">
        <f t="array" ref="I5">IFERROR(INDEX(Fichier_initial,SMALL(IF(Id_Impression=$A5,ROW(Fichier_initial)-MIN(ROW(Fichier_initial))+1),COLUMNS($A5:F5))),"")</f>
        <v/>
      </c>
      <c r="J5" s="38" t="str">
        <f t="array" ref="J5">IFERROR(INDEX(Fichier_initial,SMALL(IF(Id_Impression=$A5,ROW(Fichier_initial)-MIN(ROW(Fichier_initial))+1),COLUMNS($A5:G5))),"")</f>
        <v/>
      </c>
      <c r="K5" s="39">
        <f t="array" ref="K5">IFERROR(INDEX(Temps_Total,SMALL(IF(Id_Impression=$A5,ROW(Temps_Total)-MIN(ROW(Temps_Total))+1),COLUMNS($A$3:A5))),"")</f>
        <v>7.3611111111111113E-2</v>
      </c>
      <c r="L5" s="39">
        <f t="array" ref="L5">IFERROR(INDEX(Temps_Total,SMALL(IF(Id_Impression=$A5,ROW(Temps_Total)-MIN(ROW(Temps_Total))+1),COLUMNS($A$3:B5))),"")</f>
        <v>0.10972222222222222</v>
      </c>
      <c r="M5" s="39" t="str">
        <f t="array" ref="M5">IFERROR(INDEX(Temps_Total,SMALL(IF(Id_Impression=$A5,ROW(Temps_Total)-MIN(ROW(Temps_Total))+1),COLUMNS($A$3:C5))),"")</f>
        <v/>
      </c>
      <c r="N5" s="39" t="str">
        <f t="array" ref="N5">IFERROR(INDEX(Temps_Total,SMALL(IF(Id_Impression=$A5,ROW(Temps_Total)-MIN(ROW(Temps_Total))+1),COLUMNS($A$3:D5))),"")</f>
        <v/>
      </c>
      <c r="O5" s="39" t="str">
        <f t="array" ref="O5">IFERROR(INDEX(Temps_Total,SMALL(IF(Id_Impression=$A5,ROW(Temps_Total)-MIN(ROW(Temps_Total))+1),COLUMNS($A$3:E5))),"")</f>
        <v/>
      </c>
      <c r="P5" s="39" t="str">
        <f t="array" ref="P5">IFERROR(INDEX(Temps_Total,SMALL(IF(Id_Impression=$A5,ROW(Temps_Total)-MIN(ROW(Temps_Total))+1),COLUMNS($A$3:F5))),"")</f>
        <v/>
      </c>
      <c r="Q5" s="39" t="str">
        <f t="array" ref="Q5">IFERROR(INDEX(Temps_Total,SMALL(IF(Id_Impression=$A5,ROW(Temps_Total)-MIN(ROW(Temps_Total))+1),COLUMNS($A$3:G5))),"")</f>
        <v/>
      </c>
      <c r="R5" s="38">
        <f t="array" ref="R5">IFERROR(INDEX(Quantité_à_imprimer_12_2017,SMALL(IF(Id_Impression=$A5,ROW(Quantité_à_imprimer_12_2017)-MIN(ROW(Quantité_à_imprimer_12_2017))+1),COLUMNS($A$3:A5))),"")</f>
        <v>1</v>
      </c>
      <c r="S5" s="38">
        <f t="array" ref="S5">IFERROR(INDEX(Quantité_à_imprimer_12_2017,SMALL(IF(Id_Impression=$A5,ROW(Quantité_à_imprimer_12_2017)-MIN(ROW(Quantité_à_imprimer_12_2017))+1),COLUMNS($A$3:B5))),"")</f>
        <v>1</v>
      </c>
      <c r="T5" s="38" t="str">
        <f t="array" ref="T5">IFERROR(INDEX(Quantité_à_imprimer_12_2017,SMALL(IF(Id_Impression=$A5,ROW(Quantité_à_imprimer_12_2017)-MIN(ROW(Quantité_à_imprimer_12_2017))+1),COLUMNS($A$3:C5))),"")</f>
        <v/>
      </c>
      <c r="U5" s="38" t="str">
        <f t="array" ref="U5">IFERROR(INDEX(Quantité_à_imprimer_12_2017,SMALL(IF(Id_Impression=$A5,ROW(Quantité_à_imprimer_12_2017)-MIN(ROW(Quantité_à_imprimer_12_2017))+1),COLUMNS($A$3:D5))),"")</f>
        <v/>
      </c>
      <c r="V5" s="38" t="str">
        <f t="array" ref="V5">IFERROR(INDEX(Quantité_à_imprimer_12_2017,SMALL(IF(Id_Impression=$A5,ROW(Quantité_à_imprimer_12_2017)-MIN(ROW(Quantité_à_imprimer_12_2017))+1),COLUMNS($A$3:E5))),"")</f>
        <v/>
      </c>
      <c r="W5" s="38" t="str">
        <f t="array" ref="W5">IFERROR(INDEX(Quantité_à_imprimer_12_2017,SMALL(IF(Id_Impression=$A5,ROW(Quantité_à_imprimer_12_2017)-MIN(ROW(Quantité_à_imprimer_12_2017))+1),COLUMNS($A$3:F5))),"")</f>
        <v/>
      </c>
      <c r="X5" s="38" t="str">
        <f t="array" ref="X5">IFERROR(INDEX(Quantité_à_imprimer_12_2017,SMALL(IF(Id_Impression=$A5,ROW(Quantité_à_imprimer_12_2017)-MIN(ROW(Quantité_à_imprimer_12_2017))+1),COLUMNS($A$3:G5))),"")</f>
        <v/>
      </c>
    </row>
    <row r="6" spans="1:24" x14ac:dyDescent="0.55000000000000004">
      <c r="A6" s="40">
        <v>4</v>
      </c>
      <c r="B6" s="36">
        <f t="shared" si="0"/>
        <v>0.1701388888888889</v>
      </c>
      <c r="C6" s="37">
        <v>2</v>
      </c>
      <c r="D6" s="38" t="str">
        <f t="array" ref="D6">IFERROR(INDEX(Fichier_initial,SMALL(IF(Id_Impression=$A6,ROW(Fichier_initial)-MIN(ROW(Fichier_initial))+1),COLUMNS($A6:A6))),"")</f>
        <v>Majeure3</v>
      </c>
      <c r="E6" s="38" t="str">
        <f t="array" ref="E6">IFERROR(INDEX(Fichier_initial,SMALL(IF(Id_Impression=$A6,ROW(Fichier_initial)-MIN(ROW(Fichier_initial))+1),COLUMNS($A6:B6))),"")</f>
        <v>LeftWristsmallV4</v>
      </c>
      <c r="F6" s="38" t="str">
        <f t="array" ref="F6">IFERROR(INDEX(Fichier_initial,SMALL(IF(Id_Impression=$A6,ROW(Fichier_initial)-MIN(ROW(Fichier_initial))+1),COLUMNS($A6:C6))),"")</f>
        <v/>
      </c>
      <c r="G6" s="38" t="str">
        <f t="array" ref="G6">IFERROR(INDEX(Fichier_initial,SMALL(IF(Id_Impression=$A6,ROW(Fichier_initial)-MIN(ROW(Fichier_initial))+1),COLUMNS($A6:D6))),"")</f>
        <v/>
      </c>
      <c r="H6" s="38" t="str">
        <f t="array" ref="H6">IFERROR(INDEX(Fichier_initial,SMALL(IF(Id_Impression=$A6,ROW(Fichier_initial)-MIN(ROW(Fichier_initial))+1),COLUMNS($A6:E6))),"")</f>
        <v/>
      </c>
      <c r="I6" s="38" t="str">
        <f t="array" ref="I6">IFERROR(INDEX(Fichier_initial,SMALL(IF(Id_Impression=$A6,ROW(Fichier_initial)-MIN(ROW(Fichier_initial))+1),COLUMNS($A6:F6))),"")</f>
        <v/>
      </c>
      <c r="J6" s="38" t="str">
        <f t="array" ref="J6">IFERROR(INDEX(Fichier_initial,SMALL(IF(Id_Impression=$A6,ROW(Fichier_initial)-MIN(ROW(Fichier_initial))+1),COLUMNS($A6:G6))),"")</f>
        <v/>
      </c>
      <c r="K6" s="39">
        <f t="array" ref="K6">IFERROR(INDEX(Temps_Total,SMALL(IF(Id_Impression=$A6,ROW(Temps_Total)-MIN(ROW(Temps_Total))+1),COLUMNS($A$3:A6))),"")</f>
        <v>7.9861111111111105E-2</v>
      </c>
      <c r="L6" s="39">
        <f t="array" ref="L6">IFERROR(INDEX(Temps_Total,SMALL(IF(Id_Impression=$A6,ROW(Temps_Total)-MIN(ROW(Temps_Total))+1),COLUMNS($A$3:B6))),"")</f>
        <v>9.0277777777777776E-2</v>
      </c>
      <c r="M6" s="39" t="str">
        <f t="array" ref="M6">IFERROR(INDEX(Temps_Total,SMALL(IF(Id_Impression=$A6,ROW(Temps_Total)-MIN(ROW(Temps_Total))+1),COLUMNS($A$3:C6))),"")</f>
        <v/>
      </c>
      <c r="N6" s="39" t="str">
        <f t="array" ref="N6">IFERROR(INDEX(Temps_Total,SMALL(IF(Id_Impression=$A6,ROW(Temps_Total)-MIN(ROW(Temps_Total))+1),COLUMNS($A$3:D6))),"")</f>
        <v/>
      </c>
      <c r="O6" s="39" t="str">
        <f t="array" ref="O6">IFERROR(INDEX(Temps_Total,SMALL(IF(Id_Impression=$A6,ROW(Temps_Total)-MIN(ROW(Temps_Total))+1),COLUMNS($A$3:E6))),"")</f>
        <v/>
      </c>
      <c r="P6" s="39" t="str">
        <f t="array" ref="P6">IFERROR(INDEX(Temps_Total,SMALL(IF(Id_Impression=$A6,ROW(Temps_Total)-MIN(ROW(Temps_Total))+1),COLUMNS($A$3:F6))),"")</f>
        <v/>
      </c>
      <c r="Q6" s="39" t="str">
        <f t="array" ref="Q6">IFERROR(INDEX(Temps_Total,SMALL(IF(Id_Impression=$A6,ROW(Temps_Total)-MIN(ROW(Temps_Total))+1),COLUMNS($A$3:G6))),"")</f>
        <v/>
      </c>
      <c r="R6" s="38">
        <f t="array" ref="R6">IFERROR(INDEX(Quantité_à_imprimer_12_2017,SMALL(IF(Id_Impression=$A6,ROW(Quantité_à_imprimer_12_2017)-MIN(ROW(Quantité_à_imprimer_12_2017))+1),COLUMNS($A$3:A6))),"")</f>
        <v>1</v>
      </c>
      <c r="S6" s="38">
        <f t="array" ref="S6">IFERROR(INDEX(Quantité_à_imprimer_12_2017,SMALL(IF(Id_Impression=$A6,ROW(Quantité_à_imprimer_12_2017)-MIN(ROW(Quantité_à_imprimer_12_2017))+1),COLUMNS($A$3:B6))),"")</f>
        <v>1</v>
      </c>
      <c r="T6" s="38" t="str">
        <f t="array" ref="T6">IFERROR(INDEX(Quantité_à_imprimer_12_2017,SMALL(IF(Id_Impression=$A6,ROW(Quantité_à_imprimer_12_2017)-MIN(ROW(Quantité_à_imprimer_12_2017))+1),COLUMNS($A$3:C6))),"")</f>
        <v/>
      </c>
      <c r="U6" s="38" t="str">
        <f t="array" ref="U6">IFERROR(INDEX(Quantité_à_imprimer_12_2017,SMALL(IF(Id_Impression=$A6,ROW(Quantité_à_imprimer_12_2017)-MIN(ROW(Quantité_à_imprimer_12_2017))+1),COLUMNS($A$3:D6))),"")</f>
        <v/>
      </c>
      <c r="V6" s="38" t="str">
        <f t="array" ref="V6">IFERROR(INDEX(Quantité_à_imprimer_12_2017,SMALL(IF(Id_Impression=$A6,ROW(Quantité_à_imprimer_12_2017)-MIN(ROW(Quantité_à_imprimer_12_2017))+1),COLUMNS($A$3:E6))),"")</f>
        <v/>
      </c>
      <c r="W6" s="38" t="str">
        <f t="array" ref="W6">IFERROR(INDEX(Quantité_à_imprimer_12_2017,SMALL(IF(Id_Impression=$A6,ROW(Quantité_à_imprimer_12_2017)-MIN(ROW(Quantité_à_imprimer_12_2017))+1),COLUMNS($A$3:F6))),"")</f>
        <v/>
      </c>
      <c r="X6" s="38" t="str">
        <f t="array" ref="X6">IFERROR(INDEX(Quantité_à_imprimer_12_2017,SMALL(IF(Id_Impression=$A6,ROW(Quantité_à_imprimer_12_2017)-MIN(ROW(Quantité_à_imprimer_12_2017))+1),COLUMNS($A$3:G6))),"")</f>
        <v/>
      </c>
    </row>
    <row r="7" spans="1:24" x14ac:dyDescent="0.55000000000000004">
      <c r="A7" s="40">
        <v>5</v>
      </c>
      <c r="B7" s="36">
        <f t="shared" si="0"/>
        <v>0.14027777777777778</v>
      </c>
      <c r="C7" s="37">
        <v>1</v>
      </c>
      <c r="D7" s="38" t="str">
        <f t="array" ref="D7">IFERROR(INDEX(Fichier_initial,SMALL(IF(Id_Impression=$A7,ROW(Fichier_initial)-MIN(ROW(Fichier_initial))+1),COLUMNS($A7:A7))),"")</f>
        <v>lefttopsurface6</v>
      </c>
      <c r="E7" s="38" t="str">
        <f t="array" ref="E7">IFERROR(INDEX(Fichier_initial,SMALL(IF(Id_Impression=$A7,ROW(Fichier_initial)-MIN(ROW(Fichier_initial))+1),COLUMNS($A7:B7))),"")</f>
        <v/>
      </c>
      <c r="F7" s="38" t="str">
        <f t="array" ref="F7">IFERROR(INDEX(Fichier_initial,SMALL(IF(Id_Impression=$A7,ROW(Fichier_initial)-MIN(ROW(Fichier_initial))+1),COLUMNS($A7:C7))),"")</f>
        <v/>
      </c>
      <c r="G7" s="38" t="str">
        <f t="array" ref="G7">IFERROR(INDEX(Fichier_initial,SMALL(IF(Id_Impression=$A7,ROW(Fichier_initial)-MIN(ROW(Fichier_initial))+1),COLUMNS($A7:D7))),"")</f>
        <v/>
      </c>
      <c r="H7" s="38" t="str">
        <f t="array" ref="H7">IFERROR(INDEX(Fichier_initial,SMALL(IF(Id_Impression=$A7,ROW(Fichier_initial)-MIN(ROW(Fichier_initial))+1),COLUMNS($A7:E7))),"")</f>
        <v/>
      </c>
      <c r="I7" s="38" t="str">
        <f t="array" ref="I7">IFERROR(INDEX(Fichier_initial,SMALL(IF(Id_Impression=$A7,ROW(Fichier_initial)-MIN(ROW(Fichier_initial))+1),COLUMNS($A7:F7))),"")</f>
        <v/>
      </c>
      <c r="J7" s="38" t="str">
        <f t="array" ref="J7">IFERROR(INDEX(Fichier_initial,SMALL(IF(Id_Impression=$A7,ROW(Fichier_initial)-MIN(ROW(Fichier_initial))+1),COLUMNS($A7:G7))),"")</f>
        <v/>
      </c>
      <c r="K7" s="39">
        <f t="array" ref="K7">IFERROR(INDEX(Temps_Total,SMALL(IF(Id_Impression=$A7,ROW(Temps_Total)-MIN(ROW(Temps_Total))+1),COLUMNS($A$3:A7))),"")</f>
        <v>0.14027777777777778</v>
      </c>
      <c r="L7" s="39" t="str">
        <f t="array" ref="L7">IFERROR(INDEX(Temps_Total,SMALL(IF(Id_Impression=$A7,ROW(Temps_Total)-MIN(ROW(Temps_Total))+1),COLUMNS($A$3:B7))),"")</f>
        <v/>
      </c>
      <c r="M7" s="39" t="str">
        <f t="array" ref="M7">IFERROR(INDEX(Temps_Total,SMALL(IF(Id_Impression=$A7,ROW(Temps_Total)-MIN(ROW(Temps_Total))+1),COLUMNS($A$3:C7))),"")</f>
        <v/>
      </c>
      <c r="N7" s="39" t="str">
        <f t="array" ref="N7">IFERROR(INDEX(Temps_Total,SMALL(IF(Id_Impression=$A7,ROW(Temps_Total)-MIN(ROW(Temps_Total))+1),COLUMNS($A$3:D7))),"")</f>
        <v/>
      </c>
      <c r="O7" s="39" t="str">
        <f t="array" ref="O7">IFERROR(INDEX(Temps_Total,SMALL(IF(Id_Impression=$A7,ROW(Temps_Total)-MIN(ROW(Temps_Total))+1),COLUMNS($A$3:E7))),"")</f>
        <v/>
      </c>
      <c r="P7" s="39" t="str">
        <f t="array" ref="P7">IFERROR(INDEX(Temps_Total,SMALL(IF(Id_Impression=$A7,ROW(Temps_Total)-MIN(ROW(Temps_Total))+1),COLUMNS($A$3:F7))),"")</f>
        <v/>
      </c>
      <c r="Q7" s="39" t="str">
        <f t="array" ref="Q7">IFERROR(INDEX(Temps_Total,SMALL(IF(Id_Impression=$A7,ROW(Temps_Total)-MIN(ROW(Temps_Total))+1),COLUMNS($A$3:G7))),"")</f>
        <v/>
      </c>
      <c r="R7" s="38">
        <f t="array" ref="R7">IFERROR(INDEX(Quantité_à_imprimer_12_2017,SMALL(IF(Id_Impression=$A7,ROW(Quantité_à_imprimer_12_2017)-MIN(ROW(Quantité_à_imprimer_12_2017))+1),COLUMNS($A$3:A7))),"")</f>
        <v>1</v>
      </c>
      <c r="S7" s="38" t="str">
        <f t="array" ref="S7">IFERROR(INDEX(Quantité_à_imprimer_12_2017,SMALL(IF(Id_Impression=$A7,ROW(Quantité_à_imprimer_12_2017)-MIN(ROW(Quantité_à_imprimer_12_2017))+1),COLUMNS($A$3:B7))),"")</f>
        <v/>
      </c>
      <c r="T7" s="38" t="str">
        <f t="array" ref="T7">IFERROR(INDEX(Quantité_à_imprimer_12_2017,SMALL(IF(Id_Impression=$A7,ROW(Quantité_à_imprimer_12_2017)-MIN(ROW(Quantité_à_imprimer_12_2017))+1),COLUMNS($A$3:C7))),"")</f>
        <v/>
      </c>
      <c r="U7" s="38" t="str">
        <f t="array" ref="U7">IFERROR(INDEX(Quantité_à_imprimer_12_2017,SMALL(IF(Id_Impression=$A7,ROW(Quantité_à_imprimer_12_2017)-MIN(ROW(Quantité_à_imprimer_12_2017))+1),COLUMNS($A$3:D7))),"")</f>
        <v/>
      </c>
      <c r="V7" s="38" t="str">
        <f t="array" ref="V7">IFERROR(INDEX(Quantité_à_imprimer_12_2017,SMALL(IF(Id_Impression=$A7,ROW(Quantité_à_imprimer_12_2017)-MIN(ROW(Quantité_à_imprimer_12_2017))+1),COLUMNS($A$3:E7))),"")</f>
        <v/>
      </c>
      <c r="W7" s="38" t="str">
        <f t="array" ref="W7">IFERROR(INDEX(Quantité_à_imprimer_12_2017,SMALL(IF(Id_Impression=$A7,ROW(Quantité_à_imprimer_12_2017)-MIN(ROW(Quantité_à_imprimer_12_2017))+1),COLUMNS($A$3:F7))),"")</f>
        <v/>
      </c>
      <c r="X7" s="38" t="str">
        <f t="array" ref="X7">IFERROR(INDEX(Quantité_à_imprimer_12_2017,SMALL(IF(Id_Impression=$A7,ROW(Quantité_à_imprimer_12_2017)-MIN(ROW(Quantité_à_imprimer_12_2017))+1),COLUMNS($A$3:G7))),"")</f>
        <v/>
      </c>
    </row>
    <row r="8" spans="1:24" x14ac:dyDescent="0.55000000000000004">
      <c r="A8" s="40">
        <v>6</v>
      </c>
      <c r="B8" s="36">
        <f t="shared" si="0"/>
        <v>0.16944444444444443</v>
      </c>
      <c r="C8" s="37">
        <v>1</v>
      </c>
      <c r="D8" s="38" t="str">
        <f t="array" ref="D8">IFERROR(INDEX(Fichier_initial,SMALL(IF(Id_Impression=$A8,ROW(Fichier_initial)-MIN(ROW(Fichier_initial))+1),COLUMNS($A8:A8))),"")</f>
        <v>LeftRobpart3V4</v>
      </c>
      <c r="E8" s="38" t="str">
        <f t="array" ref="E8">IFERROR(INDEX(Fichier_initial,SMALL(IF(Id_Impression=$A8,ROW(Fichier_initial)-MIN(ROW(Fichier_initial))+1),COLUMNS($A8:B8))),"")</f>
        <v/>
      </c>
      <c r="F8" s="38" t="str">
        <f t="array" ref="F8">IFERROR(INDEX(Fichier_initial,SMALL(IF(Id_Impression=$A8,ROW(Fichier_initial)-MIN(ROW(Fichier_initial))+1),COLUMNS($A8:C8))),"")</f>
        <v/>
      </c>
      <c r="G8" s="38" t="str">
        <f t="array" ref="G8">IFERROR(INDEX(Fichier_initial,SMALL(IF(Id_Impression=$A8,ROW(Fichier_initial)-MIN(ROW(Fichier_initial))+1),COLUMNS($A8:D8))),"")</f>
        <v/>
      </c>
      <c r="H8" s="38" t="str">
        <f t="array" ref="H8">IFERROR(INDEX(Fichier_initial,SMALL(IF(Id_Impression=$A8,ROW(Fichier_initial)-MIN(ROW(Fichier_initial))+1),COLUMNS($A8:E8))),"")</f>
        <v/>
      </c>
      <c r="I8" s="38" t="str">
        <f t="array" ref="I8">IFERROR(INDEX(Fichier_initial,SMALL(IF(Id_Impression=$A8,ROW(Fichier_initial)-MIN(ROW(Fichier_initial))+1),COLUMNS($A8:F8))),"")</f>
        <v/>
      </c>
      <c r="J8" s="38" t="str">
        <f t="array" ref="J8">IFERROR(INDEX(Fichier_initial,SMALL(IF(Id_Impression=$A8,ROW(Fichier_initial)-MIN(ROW(Fichier_initial))+1),COLUMNS($A8:G8))),"")</f>
        <v/>
      </c>
      <c r="K8" s="39">
        <f t="array" ref="K8">IFERROR(INDEX(Temps_Total,SMALL(IF(Id_Impression=$A8,ROW(Temps_Total)-MIN(ROW(Temps_Total))+1),COLUMNS($A$3:A8))),"")</f>
        <v>0.16944444444444443</v>
      </c>
      <c r="L8" s="39" t="str">
        <f t="array" ref="L8">IFERROR(INDEX(Temps_Total,SMALL(IF(Id_Impression=$A8,ROW(Temps_Total)-MIN(ROW(Temps_Total))+1),COLUMNS($A$3:B8))),"")</f>
        <v/>
      </c>
      <c r="M8" s="39" t="str">
        <f t="array" ref="M8">IFERROR(INDEX(Temps_Total,SMALL(IF(Id_Impression=$A8,ROW(Temps_Total)-MIN(ROW(Temps_Total))+1),COLUMNS($A$3:C8))),"")</f>
        <v/>
      </c>
      <c r="N8" s="39" t="str">
        <f t="array" ref="N8">IFERROR(INDEX(Temps_Total,SMALL(IF(Id_Impression=$A8,ROW(Temps_Total)-MIN(ROW(Temps_Total))+1),COLUMNS($A$3:D8))),"")</f>
        <v/>
      </c>
      <c r="O8" s="39" t="str">
        <f t="array" ref="O8">IFERROR(INDEX(Temps_Total,SMALL(IF(Id_Impression=$A8,ROW(Temps_Total)-MIN(ROW(Temps_Total))+1),COLUMNS($A$3:E8))),"")</f>
        <v/>
      </c>
      <c r="P8" s="39" t="str">
        <f t="array" ref="P8">IFERROR(INDEX(Temps_Total,SMALL(IF(Id_Impression=$A8,ROW(Temps_Total)-MIN(ROW(Temps_Total))+1),COLUMNS($A$3:F8))),"")</f>
        <v/>
      </c>
      <c r="Q8" s="39" t="str">
        <f t="array" ref="Q8">IFERROR(INDEX(Temps_Total,SMALL(IF(Id_Impression=$A8,ROW(Temps_Total)-MIN(ROW(Temps_Total))+1),COLUMNS($A$3:G8))),"")</f>
        <v/>
      </c>
      <c r="R8" s="38">
        <f t="array" ref="R8">IFERROR(INDEX(Quantité_à_imprimer_12_2017,SMALL(IF(Id_Impression=$A8,ROW(Quantité_à_imprimer_12_2017)-MIN(ROW(Quantité_à_imprimer_12_2017))+1),COLUMNS($A$3:A8))),"")</f>
        <v>1</v>
      </c>
      <c r="S8" s="38" t="str">
        <f t="array" ref="S8">IFERROR(INDEX(Quantité_à_imprimer_12_2017,SMALL(IF(Id_Impression=$A8,ROW(Quantité_à_imprimer_12_2017)-MIN(ROW(Quantité_à_imprimer_12_2017))+1),COLUMNS($A$3:B8))),"")</f>
        <v/>
      </c>
      <c r="T8" s="38" t="str">
        <f t="array" ref="T8">IFERROR(INDEX(Quantité_à_imprimer_12_2017,SMALL(IF(Id_Impression=$A8,ROW(Quantité_à_imprimer_12_2017)-MIN(ROW(Quantité_à_imprimer_12_2017))+1),COLUMNS($A$3:C8))),"")</f>
        <v/>
      </c>
      <c r="U8" s="38" t="str">
        <f t="array" ref="U8">IFERROR(INDEX(Quantité_à_imprimer_12_2017,SMALL(IF(Id_Impression=$A8,ROW(Quantité_à_imprimer_12_2017)-MIN(ROW(Quantité_à_imprimer_12_2017))+1),COLUMNS($A$3:D8))),"")</f>
        <v/>
      </c>
      <c r="V8" s="38" t="str">
        <f t="array" ref="V8">IFERROR(INDEX(Quantité_à_imprimer_12_2017,SMALL(IF(Id_Impression=$A8,ROW(Quantité_à_imprimer_12_2017)-MIN(ROW(Quantité_à_imprimer_12_2017))+1),COLUMNS($A$3:E8))),"")</f>
        <v/>
      </c>
      <c r="W8" s="38" t="str">
        <f t="array" ref="W8">IFERROR(INDEX(Quantité_à_imprimer_12_2017,SMALL(IF(Id_Impression=$A8,ROW(Quantité_à_imprimer_12_2017)-MIN(ROW(Quantité_à_imprimer_12_2017))+1),COLUMNS($A$3:F8))),"")</f>
        <v/>
      </c>
      <c r="X8" s="38" t="str">
        <f t="array" ref="X8">IFERROR(INDEX(Quantité_à_imprimer_12_2017,SMALL(IF(Id_Impression=$A8,ROW(Quantité_à_imprimer_12_2017)-MIN(ROW(Quantité_à_imprimer_12_2017))+1),COLUMNS($A$3:G8))),"")</f>
        <v/>
      </c>
    </row>
    <row r="9" spans="1:24" x14ac:dyDescent="0.55000000000000004">
      <c r="A9" s="40">
        <v>7</v>
      </c>
      <c r="B9" s="36">
        <f t="shared" si="0"/>
        <v>0.21249999999999999</v>
      </c>
      <c r="C9" s="37">
        <v>1</v>
      </c>
      <c r="D9" s="38" t="str">
        <f t="array" ref="D9">IFERROR(INDEX(Fichier_initial,SMALL(IF(Id_Impression=$A9,ROW(Fichier_initial)-MIN(ROW(Fichier_initial))+1),COLUMNS($A9:A9))),"")</f>
        <v>LeftWristlargeV4</v>
      </c>
      <c r="E9" s="38" t="str">
        <f t="array" ref="E9">IFERROR(INDEX(Fichier_initial,SMALL(IF(Id_Impression=$A9,ROW(Fichier_initial)-MIN(ROW(Fichier_initial))+1),COLUMNS($A9:B9))),"")</f>
        <v/>
      </c>
      <c r="F9" s="38" t="str">
        <f t="array" ref="F9">IFERROR(INDEX(Fichier_initial,SMALL(IF(Id_Impression=$A9,ROW(Fichier_initial)-MIN(ROW(Fichier_initial))+1),COLUMNS($A9:C9))),"")</f>
        <v/>
      </c>
      <c r="G9" s="38" t="str">
        <f t="array" ref="G9">IFERROR(INDEX(Fichier_initial,SMALL(IF(Id_Impression=$A9,ROW(Fichier_initial)-MIN(ROW(Fichier_initial))+1),COLUMNS($A9:D9))),"")</f>
        <v/>
      </c>
      <c r="H9" s="38" t="str">
        <f t="array" ref="H9">IFERROR(INDEX(Fichier_initial,SMALL(IF(Id_Impression=$A9,ROW(Fichier_initial)-MIN(ROW(Fichier_initial))+1),COLUMNS($A9:E9))),"")</f>
        <v/>
      </c>
      <c r="I9" s="38" t="str">
        <f t="array" ref="I9">IFERROR(INDEX(Fichier_initial,SMALL(IF(Id_Impression=$A9,ROW(Fichier_initial)-MIN(ROW(Fichier_initial))+1),COLUMNS($A9:F9))),"")</f>
        <v/>
      </c>
      <c r="J9" s="38" t="str">
        <f t="array" ref="J9">IFERROR(INDEX(Fichier_initial,SMALL(IF(Id_Impression=$A9,ROW(Fichier_initial)-MIN(ROW(Fichier_initial))+1),COLUMNS($A9:G9))),"")</f>
        <v/>
      </c>
      <c r="K9" s="39">
        <f t="array" ref="K9">IFERROR(INDEX(Temps_Total,SMALL(IF(Id_Impression=$A9,ROW(Temps_Total)-MIN(ROW(Temps_Total))+1),COLUMNS($A$3:A9))),"")</f>
        <v>0.21249999999999999</v>
      </c>
      <c r="L9" s="39" t="str">
        <f t="array" ref="L9">IFERROR(INDEX(Temps_Total,SMALL(IF(Id_Impression=$A9,ROW(Temps_Total)-MIN(ROW(Temps_Total))+1),COLUMNS($A$3:B9))),"")</f>
        <v/>
      </c>
      <c r="M9" s="39" t="str">
        <f t="array" ref="M9">IFERROR(INDEX(Temps_Total,SMALL(IF(Id_Impression=$A9,ROW(Temps_Total)-MIN(ROW(Temps_Total))+1),COLUMNS($A$3:C9))),"")</f>
        <v/>
      </c>
      <c r="N9" s="39" t="str">
        <f t="array" ref="N9">IFERROR(INDEX(Temps_Total,SMALL(IF(Id_Impression=$A9,ROW(Temps_Total)-MIN(ROW(Temps_Total))+1),COLUMNS($A$3:D9))),"")</f>
        <v/>
      </c>
      <c r="O9" s="39" t="str">
        <f t="array" ref="O9">IFERROR(INDEX(Temps_Total,SMALL(IF(Id_Impression=$A9,ROW(Temps_Total)-MIN(ROW(Temps_Total))+1),COLUMNS($A$3:E9))),"")</f>
        <v/>
      </c>
      <c r="P9" s="39" t="str">
        <f t="array" ref="P9">IFERROR(INDEX(Temps_Total,SMALL(IF(Id_Impression=$A9,ROW(Temps_Total)-MIN(ROW(Temps_Total))+1),COLUMNS($A$3:F9))),"")</f>
        <v/>
      </c>
      <c r="Q9" s="39" t="str">
        <f t="array" ref="Q9">IFERROR(INDEX(Temps_Total,SMALL(IF(Id_Impression=$A9,ROW(Temps_Total)-MIN(ROW(Temps_Total))+1),COLUMNS($A$3:G9))),"")</f>
        <v/>
      </c>
      <c r="R9" s="38">
        <f t="array" ref="R9">IFERROR(INDEX(Quantité_à_imprimer_12_2017,SMALL(IF(Id_Impression=$A9,ROW(Quantité_à_imprimer_12_2017)-MIN(ROW(Quantité_à_imprimer_12_2017))+1),COLUMNS($A$3:A9))),"")</f>
        <v>1</v>
      </c>
      <c r="S9" s="38" t="str">
        <f t="array" ref="S9">IFERROR(INDEX(Quantité_à_imprimer_12_2017,SMALL(IF(Id_Impression=$A9,ROW(Quantité_à_imprimer_12_2017)-MIN(ROW(Quantité_à_imprimer_12_2017))+1),COLUMNS($A$3:B9))),"")</f>
        <v/>
      </c>
      <c r="T9" s="38" t="str">
        <f t="array" ref="T9">IFERROR(INDEX(Quantité_à_imprimer_12_2017,SMALL(IF(Id_Impression=$A9,ROW(Quantité_à_imprimer_12_2017)-MIN(ROW(Quantité_à_imprimer_12_2017))+1),COLUMNS($A$3:C9))),"")</f>
        <v/>
      </c>
      <c r="U9" s="38" t="str">
        <f t="array" ref="U9">IFERROR(INDEX(Quantité_à_imprimer_12_2017,SMALL(IF(Id_Impression=$A9,ROW(Quantité_à_imprimer_12_2017)-MIN(ROW(Quantité_à_imprimer_12_2017))+1),COLUMNS($A$3:D9))),"")</f>
        <v/>
      </c>
      <c r="V9" s="38" t="str">
        <f t="array" ref="V9">IFERROR(INDEX(Quantité_à_imprimer_12_2017,SMALL(IF(Id_Impression=$A9,ROW(Quantité_à_imprimer_12_2017)-MIN(ROW(Quantité_à_imprimer_12_2017))+1),COLUMNS($A$3:E9))),"")</f>
        <v/>
      </c>
      <c r="W9" s="38" t="str">
        <f t="array" ref="W9">IFERROR(INDEX(Quantité_à_imprimer_12_2017,SMALL(IF(Id_Impression=$A9,ROW(Quantité_à_imprimer_12_2017)-MIN(ROW(Quantité_à_imprimer_12_2017))+1),COLUMNS($A$3:F9))),"")</f>
        <v/>
      </c>
      <c r="X9" s="38" t="str">
        <f t="array" ref="X9">IFERROR(INDEX(Quantité_à_imprimer_12_2017,SMALL(IF(Id_Impression=$A9,ROW(Quantité_à_imprimer_12_2017)-MIN(ROW(Quantité_à_imprimer_12_2017))+1),COLUMNS($A$3:G9))),"")</f>
        <v/>
      </c>
    </row>
    <row r="10" spans="1:24" x14ac:dyDescent="0.55000000000000004">
      <c r="A10" s="40">
        <v>8</v>
      </c>
      <c r="B10" s="36">
        <f t="shared" si="0"/>
        <v>0.21597222222222223</v>
      </c>
      <c r="C10" s="37">
        <v>1</v>
      </c>
      <c r="D10" s="38" t="str">
        <f t="array" ref="D10">IFERROR(INDEX(Fichier_initial,SMALL(IF(Id_Impression=$A10,ROW(Fichier_initial)-MIN(ROW(Fichier_initial))+1),COLUMNS($A10:A10))),"")</f>
        <v>LeftRobpart2V4</v>
      </c>
      <c r="E10" s="38" t="str">
        <f t="array" ref="E10">IFERROR(INDEX(Fichier_initial,SMALL(IF(Id_Impression=$A10,ROW(Fichier_initial)-MIN(ROW(Fichier_initial))+1),COLUMNS($A10:B10))),"")</f>
        <v/>
      </c>
      <c r="F10" s="38" t="str">
        <f t="array" ref="F10">IFERROR(INDEX(Fichier_initial,SMALL(IF(Id_Impression=$A10,ROW(Fichier_initial)-MIN(ROW(Fichier_initial))+1),COLUMNS($A10:C10))),"")</f>
        <v/>
      </c>
      <c r="G10" s="38" t="str">
        <f t="array" ref="G10">IFERROR(INDEX(Fichier_initial,SMALL(IF(Id_Impression=$A10,ROW(Fichier_initial)-MIN(ROW(Fichier_initial))+1),COLUMNS($A10:D10))),"")</f>
        <v/>
      </c>
      <c r="H10" s="38" t="str">
        <f t="array" ref="H10">IFERROR(INDEX(Fichier_initial,SMALL(IF(Id_Impression=$A10,ROW(Fichier_initial)-MIN(ROW(Fichier_initial))+1),COLUMNS($A10:E10))),"")</f>
        <v/>
      </c>
      <c r="I10" s="38" t="str">
        <f t="array" ref="I10">IFERROR(INDEX(Fichier_initial,SMALL(IF(Id_Impression=$A10,ROW(Fichier_initial)-MIN(ROW(Fichier_initial))+1),COLUMNS($A10:F10))),"")</f>
        <v/>
      </c>
      <c r="J10" s="38" t="str">
        <f t="array" ref="J10">IFERROR(INDEX(Fichier_initial,SMALL(IF(Id_Impression=$A10,ROW(Fichier_initial)-MIN(ROW(Fichier_initial))+1),COLUMNS($A10:G10))),"")</f>
        <v/>
      </c>
      <c r="K10" s="39">
        <f t="array" ref="K10">IFERROR(INDEX(Temps_Total,SMALL(IF(Id_Impression=$A10,ROW(Temps_Total)-MIN(ROW(Temps_Total))+1),COLUMNS($A$3:A10))),"")</f>
        <v>0.21597222222222223</v>
      </c>
      <c r="L10" s="39" t="str">
        <f t="array" ref="L10">IFERROR(INDEX(Temps_Total,SMALL(IF(Id_Impression=$A10,ROW(Temps_Total)-MIN(ROW(Temps_Total))+1),COLUMNS($A$3:B10))),"")</f>
        <v/>
      </c>
      <c r="M10" s="39" t="str">
        <f t="array" ref="M10">IFERROR(INDEX(Temps_Total,SMALL(IF(Id_Impression=$A10,ROW(Temps_Total)-MIN(ROW(Temps_Total))+1),COLUMNS($A$3:C10))),"")</f>
        <v/>
      </c>
      <c r="N10" s="39" t="str">
        <f t="array" ref="N10">IFERROR(INDEX(Temps_Total,SMALL(IF(Id_Impression=$A10,ROW(Temps_Total)-MIN(ROW(Temps_Total))+1),COLUMNS($A$3:D10))),"")</f>
        <v/>
      </c>
      <c r="O10" s="39" t="str">
        <f t="array" ref="O10">IFERROR(INDEX(Temps_Total,SMALL(IF(Id_Impression=$A10,ROW(Temps_Total)-MIN(ROW(Temps_Total))+1),COLUMNS($A$3:E10))),"")</f>
        <v/>
      </c>
      <c r="P10" s="39" t="str">
        <f t="array" ref="P10">IFERROR(INDEX(Temps_Total,SMALL(IF(Id_Impression=$A10,ROW(Temps_Total)-MIN(ROW(Temps_Total))+1),COLUMNS($A$3:F10))),"")</f>
        <v/>
      </c>
      <c r="Q10" s="39" t="str">
        <f t="array" ref="Q10">IFERROR(INDEX(Temps_Total,SMALL(IF(Id_Impression=$A10,ROW(Temps_Total)-MIN(ROW(Temps_Total))+1),COLUMNS($A$3:G10))),"")</f>
        <v/>
      </c>
      <c r="R10" s="38">
        <f t="array" ref="R10">IFERROR(INDEX(Quantité_à_imprimer_12_2017,SMALL(IF(Id_Impression=$A10,ROW(Quantité_à_imprimer_12_2017)-MIN(ROW(Quantité_à_imprimer_12_2017))+1),COLUMNS($A$3:A10))),"")</f>
        <v>1</v>
      </c>
      <c r="S10" s="38" t="str">
        <f t="array" ref="S10">IFERROR(INDEX(Quantité_à_imprimer_12_2017,SMALL(IF(Id_Impression=$A10,ROW(Quantité_à_imprimer_12_2017)-MIN(ROW(Quantité_à_imprimer_12_2017))+1),COLUMNS($A$3:B10))),"")</f>
        <v/>
      </c>
      <c r="T10" s="38" t="str">
        <f t="array" ref="T10">IFERROR(INDEX(Quantité_à_imprimer_12_2017,SMALL(IF(Id_Impression=$A10,ROW(Quantité_à_imprimer_12_2017)-MIN(ROW(Quantité_à_imprimer_12_2017))+1),COLUMNS($A$3:C10))),"")</f>
        <v/>
      </c>
      <c r="U10" s="38" t="str">
        <f t="array" ref="U10">IFERROR(INDEX(Quantité_à_imprimer_12_2017,SMALL(IF(Id_Impression=$A10,ROW(Quantité_à_imprimer_12_2017)-MIN(ROW(Quantité_à_imprimer_12_2017))+1),COLUMNS($A$3:D10))),"")</f>
        <v/>
      </c>
      <c r="V10" s="38" t="str">
        <f t="array" ref="V10">IFERROR(INDEX(Quantité_à_imprimer_12_2017,SMALL(IF(Id_Impression=$A10,ROW(Quantité_à_imprimer_12_2017)-MIN(ROW(Quantité_à_imprimer_12_2017))+1),COLUMNS($A$3:E10))),"")</f>
        <v/>
      </c>
      <c r="W10" s="38" t="str">
        <f t="array" ref="W10">IFERROR(INDEX(Quantité_à_imprimer_12_2017,SMALL(IF(Id_Impression=$A10,ROW(Quantité_à_imprimer_12_2017)-MIN(ROW(Quantité_à_imprimer_12_2017))+1),COLUMNS($A$3:F10))),"")</f>
        <v/>
      </c>
      <c r="X10" s="38" t="str">
        <f t="array" ref="X10">IFERROR(INDEX(Quantité_à_imprimer_12_2017,SMALL(IF(Id_Impression=$A10,ROW(Quantité_à_imprimer_12_2017)-MIN(ROW(Quantité_à_imprimer_12_2017))+1),COLUMNS($A$3:G10))),"")</f>
        <v/>
      </c>
    </row>
    <row r="11" spans="1:24" x14ac:dyDescent="0.55000000000000004">
      <c r="A11" s="40">
        <v>9</v>
      </c>
      <c r="B11" s="36">
        <f t="shared" si="0"/>
        <v>0.24791666666666667</v>
      </c>
      <c r="C11" s="37">
        <v>1</v>
      </c>
      <c r="D11" s="38" t="str">
        <f t="array" ref="D11">IFERROR(INDEX(Fichier_initial,SMALL(IF(Id_Impression=$A11,ROW(Fichier_initial)-MIN(ROW(Fichier_initial))+1),COLUMNS($A11:A11))),"")</f>
        <v>LeftRobpart4V4</v>
      </c>
      <c r="E11" s="38" t="str">
        <f t="array" ref="E11">IFERROR(INDEX(Fichier_initial,SMALL(IF(Id_Impression=$A11,ROW(Fichier_initial)-MIN(ROW(Fichier_initial))+1),COLUMNS($A11:B11))),"")</f>
        <v/>
      </c>
      <c r="F11" s="38" t="str">
        <f t="array" ref="F11">IFERROR(INDEX(Fichier_initial,SMALL(IF(Id_Impression=$A11,ROW(Fichier_initial)-MIN(ROW(Fichier_initial))+1),COLUMNS($A11:C11))),"")</f>
        <v/>
      </c>
      <c r="G11" s="38" t="str">
        <f t="array" ref="G11">IFERROR(INDEX(Fichier_initial,SMALL(IF(Id_Impression=$A11,ROW(Fichier_initial)-MIN(ROW(Fichier_initial))+1),COLUMNS($A11:D11))),"")</f>
        <v/>
      </c>
      <c r="H11" s="38" t="str">
        <f t="array" ref="H11">IFERROR(INDEX(Fichier_initial,SMALL(IF(Id_Impression=$A11,ROW(Fichier_initial)-MIN(ROW(Fichier_initial))+1),COLUMNS($A11:E11))),"")</f>
        <v/>
      </c>
      <c r="I11" s="38" t="str">
        <f t="array" ref="I11">IFERROR(INDEX(Fichier_initial,SMALL(IF(Id_Impression=$A11,ROW(Fichier_initial)-MIN(ROW(Fichier_initial))+1),COLUMNS($A11:F11))),"")</f>
        <v/>
      </c>
      <c r="J11" s="38" t="str">
        <f t="array" ref="J11">IFERROR(INDEX(Fichier_initial,SMALL(IF(Id_Impression=$A11,ROW(Fichier_initial)-MIN(ROW(Fichier_initial))+1),COLUMNS($A11:G11))),"")</f>
        <v/>
      </c>
      <c r="K11" s="39">
        <f t="array" ref="K11">IFERROR(INDEX(Temps_Total,SMALL(IF(Id_Impression=$A11,ROW(Temps_Total)-MIN(ROW(Temps_Total))+1),COLUMNS($A$3:A11))),"")</f>
        <v>0.24791666666666667</v>
      </c>
      <c r="L11" s="39" t="str">
        <f t="array" ref="L11">IFERROR(INDEX(Temps_Total,SMALL(IF(Id_Impression=$A11,ROW(Temps_Total)-MIN(ROW(Temps_Total))+1),COLUMNS($A$3:B11))),"")</f>
        <v/>
      </c>
      <c r="M11" s="39" t="str">
        <f t="array" ref="M11">IFERROR(INDEX(Temps_Total,SMALL(IF(Id_Impression=$A11,ROW(Temps_Total)-MIN(ROW(Temps_Total))+1),COLUMNS($A$3:C11))),"")</f>
        <v/>
      </c>
      <c r="N11" s="39" t="str">
        <f t="array" ref="N11">IFERROR(INDEX(Temps_Total,SMALL(IF(Id_Impression=$A11,ROW(Temps_Total)-MIN(ROW(Temps_Total))+1),COLUMNS($A$3:D11))),"")</f>
        <v/>
      </c>
      <c r="O11" s="39" t="str">
        <f t="array" ref="O11">IFERROR(INDEX(Temps_Total,SMALL(IF(Id_Impression=$A11,ROW(Temps_Total)-MIN(ROW(Temps_Total))+1),COLUMNS($A$3:E11))),"")</f>
        <v/>
      </c>
      <c r="P11" s="39" t="str">
        <f t="array" ref="P11">IFERROR(INDEX(Temps_Total,SMALL(IF(Id_Impression=$A11,ROW(Temps_Total)-MIN(ROW(Temps_Total))+1),COLUMNS($A$3:F11))),"")</f>
        <v/>
      </c>
      <c r="Q11" s="39" t="str">
        <f t="array" ref="Q11">IFERROR(INDEX(Temps_Total,SMALL(IF(Id_Impression=$A11,ROW(Temps_Total)-MIN(ROW(Temps_Total))+1),COLUMNS($A$3:G11))),"")</f>
        <v/>
      </c>
      <c r="R11" s="38">
        <f t="array" ref="R11">IFERROR(INDEX(Quantité_à_imprimer_12_2017,SMALL(IF(Id_Impression=$A11,ROW(Quantité_à_imprimer_12_2017)-MIN(ROW(Quantité_à_imprimer_12_2017))+1),COLUMNS($A$3:A11))),"")</f>
        <v>1</v>
      </c>
      <c r="S11" s="38" t="str">
        <f t="array" ref="S11">IFERROR(INDEX(Quantité_à_imprimer_12_2017,SMALL(IF(Id_Impression=$A11,ROW(Quantité_à_imprimer_12_2017)-MIN(ROW(Quantité_à_imprimer_12_2017))+1),COLUMNS($A$3:B11))),"")</f>
        <v/>
      </c>
      <c r="T11" s="38" t="str">
        <f t="array" ref="T11">IFERROR(INDEX(Quantité_à_imprimer_12_2017,SMALL(IF(Id_Impression=$A11,ROW(Quantité_à_imprimer_12_2017)-MIN(ROW(Quantité_à_imprimer_12_2017))+1),COLUMNS($A$3:C11))),"")</f>
        <v/>
      </c>
      <c r="U11" s="38" t="str">
        <f t="array" ref="U11">IFERROR(INDEX(Quantité_à_imprimer_12_2017,SMALL(IF(Id_Impression=$A11,ROW(Quantité_à_imprimer_12_2017)-MIN(ROW(Quantité_à_imprimer_12_2017))+1),COLUMNS($A$3:D11))),"")</f>
        <v/>
      </c>
      <c r="V11" s="38" t="str">
        <f t="array" ref="V11">IFERROR(INDEX(Quantité_à_imprimer_12_2017,SMALL(IF(Id_Impression=$A11,ROW(Quantité_à_imprimer_12_2017)-MIN(ROW(Quantité_à_imprimer_12_2017))+1),COLUMNS($A$3:E11))),"")</f>
        <v/>
      </c>
      <c r="W11" s="38" t="str">
        <f t="array" ref="W11">IFERROR(INDEX(Quantité_à_imprimer_12_2017,SMALL(IF(Id_Impression=$A11,ROW(Quantité_à_imprimer_12_2017)-MIN(ROW(Quantité_à_imprimer_12_2017))+1),COLUMNS($A$3:F11))),"")</f>
        <v/>
      </c>
      <c r="X11" s="38" t="str">
        <f t="array" ref="X11">IFERROR(INDEX(Quantité_à_imprimer_12_2017,SMALL(IF(Id_Impression=$A11,ROW(Quantité_à_imprimer_12_2017)-MIN(ROW(Quantité_à_imprimer_12_2017))+1),COLUMNS($A$3:G11))),"")</f>
        <v/>
      </c>
    </row>
    <row r="12" spans="1:24" x14ac:dyDescent="0.55000000000000004">
      <c r="A12" s="40">
        <v>10</v>
      </c>
      <c r="B12" s="36">
        <f t="shared" si="0"/>
        <v>0.29583333333333334</v>
      </c>
      <c r="C12" s="37">
        <v>1</v>
      </c>
      <c r="D12" s="38" t="str">
        <f t="array" ref="D12">IFERROR(INDEX(Fichier_initial,SMALL(IF(Id_Impression=$A12,ROW(Fichier_initial)-MIN(ROW(Fichier_initial))+1),COLUMNS($A12:A12))),"")</f>
        <v>LeftRobpart5V4</v>
      </c>
      <c r="E12" s="38" t="str">
        <f t="array" ref="E12">IFERROR(INDEX(Fichier_initial,SMALL(IF(Id_Impression=$A12,ROW(Fichier_initial)-MIN(ROW(Fichier_initial))+1),COLUMNS($A12:B12))),"")</f>
        <v/>
      </c>
      <c r="F12" s="38" t="str">
        <f t="array" ref="F12">IFERROR(INDEX(Fichier_initial,SMALL(IF(Id_Impression=$A12,ROW(Fichier_initial)-MIN(ROW(Fichier_initial))+1),COLUMNS($A12:C12))),"")</f>
        <v/>
      </c>
      <c r="G12" s="38" t="str">
        <f t="array" ref="G12">IFERROR(INDEX(Fichier_initial,SMALL(IF(Id_Impression=$A12,ROW(Fichier_initial)-MIN(ROW(Fichier_initial))+1),COLUMNS($A12:D12))),"")</f>
        <v/>
      </c>
      <c r="H12" s="38" t="str">
        <f t="array" ref="H12">IFERROR(INDEX(Fichier_initial,SMALL(IF(Id_Impression=$A12,ROW(Fichier_initial)-MIN(ROW(Fichier_initial))+1),COLUMNS($A12:E12))),"")</f>
        <v/>
      </c>
      <c r="I12" s="38" t="str">
        <f t="array" ref="I12">IFERROR(INDEX(Fichier_initial,SMALL(IF(Id_Impression=$A12,ROW(Fichier_initial)-MIN(ROW(Fichier_initial))+1),COLUMNS($A12:F12))),"")</f>
        <v/>
      </c>
      <c r="J12" s="38" t="str">
        <f t="array" ref="J12">IFERROR(INDEX(Fichier_initial,SMALL(IF(Id_Impression=$A12,ROW(Fichier_initial)-MIN(ROW(Fichier_initial))+1),COLUMNS($A12:G12))),"")</f>
        <v/>
      </c>
      <c r="K12" s="39">
        <f t="array" ref="K12">IFERROR(INDEX(Temps_Total,SMALL(IF(Id_Impression=$A12,ROW(Temps_Total)-MIN(ROW(Temps_Total))+1),COLUMNS($A$3:A12))),"")</f>
        <v>0.29583333333333334</v>
      </c>
      <c r="L12" s="39" t="str">
        <f t="array" ref="L12">IFERROR(INDEX(Temps_Total,SMALL(IF(Id_Impression=$A12,ROW(Temps_Total)-MIN(ROW(Temps_Total))+1),COLUMNS($A$3:B12))),"")</f>
        <v/>
      </c>
      <c r="M12" s="39" t="str">
        <f t="array" ref="M12">IFERROR(INDEX(Temps_Total,SMALL(IF(Id_Impression=$A12,ROW(Temps_Total)-MIN(ROW(Temps_Total))+1),COLUMNS($A$3:C12))),"")</f>
        <v/>
      </c>
      <c r="N12" s="39" t="str">
        <f t="array" ref="N12">IFERROR(INDEX(Temps_Total,SMALL(IF(Id_Impression=$A12,ROW(Temps_Total)-MIN(ROW(Temps_Total))+1),COLUMNS($A$3:D12))),"")</f>
        <v/>
      </c>
      <c r="O12" s="39" t="str">
        <f t="array" ref="O12">IFERROR(INDEX(Temps_Total,SMALL(IF(Id_Impression=$A12,ROW(Temps_Total)-MIN(ROW(Temps_Total))+1),COLUMNS($A$3:E12))),"")</f>
        <v/>
      </c>
      <c r="P12" s="39" t="str">
        <f t="array" ref="P12">IFERROR(INDEX(Temps_Total,SMALL(IF(Id_Impression=$A12,ROW(Temps_Total)-MIN(ROW(Temps_Total))+1),COLUMNS($A$3:F12))),"")</f>
        <v/>
      </c>
      <c r="Q12" s="39" t="str">
        <f t="array" ref="Q12">IFERROR(INDEX(Temps_Total,SMALL(IF(Id_Impression=$A12,ROW(Temps_Total)-MIN(ROW(Temps_Total))+1),COLUMNS($A$3:G12))),"")</f>
        <v/>
      </c>
      <c r="R12" s="38">
        <f t="array" ref="R12">IFERROR(INDEX(Quantité_à_imprimer_12_2017,SMALL(IF(Id_Impression=$A12,ROW(Quantité_à_imprimer_12_2017)-MIN(ROW(Quantité_à_imprimer_12_2017))+1),COLUMNS($A$3:A12))),"")</f>
        <v>1</v>
      </c>
      <c r="S12" s="38" t="str">
        <f t="array" ref="S12">IFERROR(INDEX(Quantité_à_imprimer_12_2017,SMALL(IF(Id_Impression=$A12,ROW(Quantité_à_imprimer_12_2017)-MIN(ROW(Quantité_à_imprimer_12_2017))+1),COLUMNS($A$3:B12))),"")</f>
        <v/>
      </c>
      <c r="T12" s="38" t="str">
        <f t="array" ref="T12">IFERROR(INDEX(Quantité_à_imprimer_12_2017,SMALL(IF(Id_Impression=$A12,ROW(Quantité_à_imprimer_12_2017)-MIN(ROW(Quantité_à_imprimer_12_2017))+1),COLUMNS($A$3:C12))),"")</f>
        <v/>
      </c>
      <c r="U12" s="38" t="str">
        <f t="array" ref="U12">IFERROR(INDEX(Quantité_à_imprimer_12_2017,SMALL(IF(Id_Impression=$A12,ROW(Quantité_à_imprimer_12_2017)-MIN(ROW(Quantité_à_imprimer_12_2017))+1),COLUMNS($A$3:D12))),"")</f>
        <v/>
      </c>
      <c r="V12" s="38" t="str">
        <f t="array" ref="V12">IFERROR(INDEX(Quantité_à_imprimer_12_2017,SMALL(IF(Id_Impression=$A12,ROW(Quantité_à_imprimer_12_2017)-MIN(ROW(Quantité_à_imprimer_12_2017))+1),COLUMNS($A$3:E12))),"")</f>
        <v/>
      </c>
      <c r="W12" s="38" t="str">
        <f t="array" ref="W12">IFERROR(INDEX(Quantité_à_imprimer_12_2017,SMALL(IF(Id_Impression=$A12,ROW(Quantité_à_imprimer_12_2017)-MIN(ROW(Quantité_à_imprimer_12_2017))+1),COLUMNS($A$3:F12))),"")</f>
        <v/>
      </c>
      <c r="X12" s="38" t="str">
        <f t="array" ref="X12">IFERROR(INDEX(Quantité_à_imprimer_12_2017,SMALL(IF(Id_Impression=$A12,ROW(Quantité_à_imprimer_12_2017)-MIN(ROW(Quantité_à_imprimer_12_2017))+1),COLUMNS($A$3:G12))),"")</f>
        <v/>
      </c>
    </row>
    <row r="13" spans="1:24" x14ac:dyDescent="0.55000000000000004">
      <c r="A13" s="40">
        <v>11</v>
      </c>
      <c r="B13" s="36">
        <f t="shared" si="0"/>
        <v>0.18124999999999999</v>
      </c>
      <c r="C13" s="37">
        <v>4</v>
      </c>
      <c r="D13" s="38" t="str">
        <f t="array" ref="D13">IFERROR(INDEX(Fichier_initial,SMALL(IF(Id_Impression=$A13,ROW(Fichier_initial)-MIN(ROW(Fichier_initial))+1),COLUMNS($A13:A13))),"")</f>
        <v>LeftRobCableBackV3</v>
      </c>
      <c r="E13" s="38" t="str">
        <f t="array" ref="E13">IFERROR(INDEX(Fichier_initial,SMALL(IF(Id_Impression=$A13,ROW(Fichier_initial)-MIN(ROW(Fichier_initial))+1),COLUMNS($A13:B13))),"")</f>
        <v>LeftRobCableFrontV3</v>
      </c>
      <c r="F13" s="38" t="str">
        <f t="array" ref="F13">IFERROR(INDEX(Fichier_initial,SMALL(IF(Id_Impression=$A13,ROW(Fichier_initial)-MIN(ROW(Fichier_initial))+1),COLUMNS($A13:C13))),"")</f>
        <v>servo-pulleyX5</v>
      </c>
      <c r="G13" s="38" t="str">
        <f t="array" ref="G13">IFERROR(INDEX(Fichier_initial,SMALL(IF(Id_Impression=$A13,ROW(Fichier_initial)-MIN(ROW(Fichier_initial))+1),COLUMNS($A13:D13))),"")</f>
        <v>LeftTensionerV1</v>
      </c>
      <c r="H13" s="38" t="str">
        <f t="array" ref="H13">IFERROR(INDEX(Fichier_initial,SMALL(IF(Id_Impression=$A13,ROW(Fichier_initial)-MIN(ROW(Fichier_initial))+1),COLUMNS($A13:E13))),"")</f>
        <v/>
      </c>
      <c r="I13" s="38" t="str">
        <f t="array" ref="I13">IFERROR(INDEX(Fichier_initial,SMALL(IF(Id_Impression=$A13,ROW(Fichier_initial)-MIN(ROW(Fichier_initial))+1),COLUMNS($A13:F13))),"")</f>
        <v/>
      </c>
      <c r="J13" s="38" t="str">
        <f t="array" ref="J13">IFERROR(INDEX(Fichier_initial,SMALL(IF(Id_Impression=$A13,ROW(Fichier_initial)-MIN(ROW(Fichier_initial))+1),COLUMNS($A13:G13))),"")</f>
        <v/>
      </c>
      <c r="K13" s="39">
        <f t="array" ref="K13">IFERROR(INDEX(Temps_Total,SMALL(IF(Id_Impression=$A13,ROW(Temps_Total)-MIN(ROW(Temps_Total))+1),COLUMNS($A$3:A13))),"")</f>
        <v>2.4999999999999998E-2</v>
      </c>
      <c r="L13" s="39">
        <f t="array" ref="L13">IFERROR(INDEX(Temps_Total,SMALL(IF(Id_Impression=$A13,ROW(Temps_Total)-MIN(ROW(Temps_Total))+1),COLUMNS($A$3:B13))),"")</f>
        <v>4.1666666666666664E-2</v>
      </c>
      <c r="M13" s="39">
        <f t="array" ref="M13">IFERROR(INDEX(Temps_Total,SMALL(IF(Id_Impression=$A13,ROW(Temps_Total)-MIN(ROW(Temps_Total))+1),COLUMNS($A$3:C13))),"")</f>
        <v>5.5555555555555552E-2</v>
      </c>
      <c r="N13" s="39">
        <f t="array" ref="N13">IFERROR(INDEX(Temps_Total,SMALL(IF(Id_Impression=$A13,ROW(Temps_Total)-MIN(ROW(Temps_Total))+1),COLUMNS($A$3:D13))),"")</f>
        <v>5.9027777777777783E-2</v>
      </c>
      <c r="O13" s="39" t="str">
        <f t="array" ref="O13">IFERROR(INDEX(Temps_Total,SMALL(IF(Id_Impression=$A13,ROW(Temps_Total)-MIN(ROW(Temps_Total))+1),COLUMNS($A$3:E13))),"")</f>
        <v/>
      </c>
      <c r="P13" s="39" t="str">
        <f t="array" ref="P13">IFERROR(INDEX(Temps_Total,SMALL(IF(Id_Impression=$A13,ROW(Temps_Total)-MIN(ROW(Temps_Total))+1),COLUMNS($A$3:F13))),"")</f>
        <v/>
      </c>
      <c r="Q13" s="39" t="str">
        <f t="array" ref="Q13">IFERROR(INDEX(Temps_Total,SMALL(IF(Id_Impression=$A13,ROW(Temps_Total)-MIN(ROW(Temps_Total))+1),COLUMNS($A$3:G13))),"")</f>
        <v/>
      </c>
      <c r="R13" s="38">
        <f t="array" ref="R13">IFERROR(INDEX(Quantité_à_imprimer_12_2017,SMALL(IF(Id_Impression=$A13,ROW(Quantité_à_imprimer_12_2017)-MIN(ROW(Quantité_à_imprimer_12_2017))+1),COLUMNS($A$3:A13))),"")</f>
        <v>1</v>
      </c>
      <c r="S13" s="38">
        <f t="array" ref="S13">IFERROR(INDEX(Quantité_à_imprimer_12_2017,SMALL(IF(Id_Impression=$A13,ROW(Quantité_à_imprimer_12_2017)-MIN(ROW(Quantité_à_imprimer_12_2017))+1),COLUMNS($A$3:B13))),"")</f>
        <v>1</v>
      </c>
      <c r="T13" s="38">
        <f t="array" ref="T13">IFERROR(INDEX(Quantité_à_imprimer_12_2017,SMALL(IF(Id_Impression=$A13,ROW(Quantité_à_imprimer_12_2017)-MIN(ROW(Quantité_à_imprimer_12_2017))+1),COLUMNS($A$3:C13))),"")</f>
        <v>1</v>
      </c>
      <c r="U13" s="38">
        <f t="array" ref="U13">IFERROR(INDEX(Quantité_à_imprimer_12_2017,SMALL(IF(Id_Impression=$A13,ROW(Quantité_à_imprimer_12_2017)-MIN(ROW(Quantité_à_imprimer_12_2017))+1),COLUMNS($A$3:D13))),"")</f>
        <v>1</v>
      </c>
      <c r="V13" s="38" t="str">
        <f t="array" ref="V13">IFERROR(INDEX(Quantité_à_imprimer_12_2017,SMALL(IF(Id_Impression=$A13,ROW(Quantité_à_imprimer_12_2017)-MIN(ROW(Quantité_à_imprimer_12_2017))+1),COLUMNS($A$3:E13))),"")</f>
        <v/>
      </c>
      <c r="W13" s="38" t="str">
        <f t="array" ref="W13">IFERROR(INDEX(Quantité_à_imprimer_12_2017,SMALL(IF(Id_Impression=$A13,ROW(Quantité_à_imprimer_12_2017)-MIN(ROW(Quantité_à_imprimer_12_2017))+1),COLUMNS($A$3:F13))),"")</f>
        <v/>
      </c>
      <c r="X13" s="38" t="str">
        <f t="array" ref="X13">IFERROR(INDEX(Quantité_à_imprimer_12_2017,SMALL(IF(Id_Impression=$A13,ROW(Quantité_à_imprimer_12_2017)-MIN(ROW(Quantité_à_imprimer_12_2017))+1),COLUMNS($A$3:G13))),"")</f>
        <v/>
      </c>
    </row>
    <row r="14" spans="1:24" x14ac:dyDescent="0.55000000000000004">
      <c r="A14" s="40">
        <v>12</v>
      </c>
      <c r="B14" s="36">
        <f t="shared" si="0"/>
        <v>0.17777777777777778</v>
      </c>
      <c r="C14" s="37">
        <v>1</v>
      </c>
      <c r="D14" s="38" t="str">
        <f t="array" ref="D14">IFERROR(INDEX(Fichier_initial,SMALL(IF(Id_Impression=$A14,ROW(Fichier_initial)-MIN(ROW(Fichier_initial))+1),COLUMNS($A14:A14))),"")</f>
        <v>LeftRobServoBedV5</v>
      </c>
      <c r="E14" s="38" t="str">
        <f t="array" ref="E14">IFERROR(INDEX(Fichier_initial,SMALL(IF(Id_Impression=$A14,ROW(Fichier_initial)-MIN(ROW(Fichier_initial))+1),COLUMNS($A14:B14))),"")</f>
        <v/>
      </c>
      <c r="F14" s="38" t="str">
        <f t="array" ref="F14">IFERROR(INDEX(Fichier_initial,SMALL(IF(Id_Impression=$A14,ROW(Fichier_initial)-MIN(ROW(Fichier_initial))+1),COLUMNS($A14:C14))),"")</f>
        <v/>
      </c>
      <c r="G14" s="38" t="str">
        <f t="array" ref="G14">IFERROR(INDEX(Fichier_initial,SMALL(IF(Id_Impression=$A14,ROW(Fichier_initial)-MIN(ROW(Fichier_initial))+1),COLUMNS($A14:D14))),"")</f>
        <v/>
      </c>
      <c r="H14" s="38" t="str">
        <f t="array" ref="H14">IFERROR(INDEX(Fichier_initial,SMALL(IF(Id_Impression=$A14,ROW(Fichier_initial)-MIN(ROW(Fichier_initial))+1),COLUMNS($A14:E14))),"")</f>
        <v/>
      </c>
      <c r="I14" s="38" t="str">
        <f t="array" ref="I14">IFERROR(INDEX(Fichier_initial,SMALL(IF(Id_Impression=$A14,ROW(Fichier_initial)-MIN(ROW(Fichier_initial))+1),COLUMNS($A14:F14))),"")</f>
        <v/>
      </c>
      <c r="J14" s="38" t="str">
        <f t="array" ref="J14">IFERROR(INDEX(Fichier_initial,SMALL(IF(Id_Impression=$A14,ROW(Fichier_initial)-MIN(ROW(Fichier_initial))+1),COLUMNS($A14:G14))),"")</f>
        <v/>
      </c>
      <c r="K14" s="39">
        <f t="array" ref="K14">IFERROR(INDEX(Temps_Total,SMALL(IF(Id_Impression=$A14,ROW(Temps_Total)-MIN(ROW(Temps_Total))+1),COLUMNS($A$3:A14))),"")</f>
        <v>0.17777777777777778</v>
      </c>
      <c r="L14" s="39" t="str">
        <f t="array" ref="L14">IFERROR(INDEX(Temps_Total,SMALL(IF(Id_Impression=$A14,ROW(Temps_Total)-MIN(ROW(Temps_Total))+1),COLUMNS($A$3:B14))),"")</f>
        <v/>
      </c>
      <c r="M14" s="39" t="str">
        <f t="array" ref="M14">IFERROR(INDEX(Temps_Total,SMALL(IF(Id_Impression=$A14,ROW(Temps_Total)-MIN(ROW(Temps_Total))+1),COLUMNS($A$3:C14))),"")</f>
        <v/>
      </c>
      <c r="N14" s="39" t="str">
        <f t="array" ref="N14">IFERROR(INDEX(Temps_Total,SMALL(IF(Id_Impression=$A14,ROW(Temps_Total)-MIN(ROW(Temps_Total))+1),COLUMNS($A$3:D14))),"")</f>
        <v/>
      </c>
      <c r="O14" s="39" t="str">
        <f t="array" ref="O14">IFERROR(INDEX(Temps_Total,SMALL(IF(Id_Impression=$A14,ROW(Temps_Total)-MIN(ROW(Temps_Total))+1),COLUMNS($A$3:E14))),"")</f>
        <v/>
      </c>
      <c r="P14" s="39" t="str">
        <f t="array" ref="P14">IFERROR(INDEX(Temps_Total,SMALL(IF(Id_Impression=$A14,ROW(Temps_Total)-MIN(ROW(Temps_Total))+1),COLUMNS($A$3:F14))),"")</f>
        <v/>
      </c>
      <c r="Q14" s="39" t="str">
        <f t="array" ref="Q14">IFERROR(INDEX(Temps_Total,SMALL(IF(Id_Impression=$A14,ROW(Temps_Total)-MIN(ROW(Temps_Total))+1),COLUMNS($A$3:G14))),"")</f>
        <v/>
      </c>
      <c r="R14" s="38">
        <f t="array" ref="R14">IFERROR(INDEX(Quantité_à_imprimer_12_2017,SMALL(IF(Id_Impression=$A14,ROW(Quantité_à_imprimer_12_2017)-MIN(ROW(Quantité_à_imprimer_12_2017))+1),COLUMNS($A$3:A14))),"")</f>
        <v>1</v>
      </c>
      <c r="S14" s="38" t="str">
        <f t="array" ref="S14">IFERROR(INDEX(Quantité_à_imprimer_12_2017,SMALL(IF(Id_Impression=$A14,ROW(Quantité_à_imprimer_12_2017)-MIN(ROW(Quantité_à_imprimer_12_2017))+1),COLUMNS($A$3:B14))),"")</f>
        <v/>
      </c>
      <c r="T14" s="38" t="str">
        <f t="array" ref="T14">IFERROR(INDEX(Quantité_à_imprimer_12_2017,SMALL(IF(Id_Impression=$A14,ROW(Quantité_à_imprimer_12_2017)-MIN(ROW(Quantité_à_imprimer_12_2017))+1),COLUMNS($A$3:C14))),"")</f>
        <v/>
      </c>
      <c r="U14" s="38" t="str">
        <f t="array" ref="U14">IFERROR(INDEX(Quantité_à_imprimer_12_2017,SMALL(IF(Id_Impression=$A14,ROW(Quantité_à_imprimer_12_2017)-MIN(ROW(Quantité_à_imprimer_12_2017))+1),COLUMNS($A$3:D14))),"")</f>
        <v/>
      </c>
      <c r="V14" s="38" t="str">
        <f t="array" ref="V14">IFERROR(INDEX(Quantité_à_imprimer_12_2017,SMALL(IF(Id_Impression=$A14,ROW(Quantité_à_imprimer_12_2017)-MIN(ROW(Quantité_à_imprimer_12_2017))+1),COLUMNS($A$3:E14))),"")</f>
        <v/>
      </c>
      <c r="W14" s="38" t="str">
        <f t="array" ref="W14">IFERROR(INDEX(Quantité_à_imprimer_12_2017,SMALL(IF(Id_Impression=$A14,ROW(Quantité_à_imprimer_12_2017)-MIN(ROW(Quantité_à_imprimer_12_2017))+1),COLUMNS($A$3:F14))),"")</f>
        <v/>
      </c>
      <c r="X14" s="38" t="str">
        <f t="array" ref="X14">IFERROR(INDEX(Quantité_à_imprimer_12_2017,SMALL(IF(Id_Impression=$A14,ROW(Quantité_à_imprimer_12_2017)-MIN(ROW(Quantité_à_imprimer_12_2017))+1),COLUMNS($A$3:G14))),"")</f>
        <v/>
      </c>
    </row>
    <row r="15" spans="1:24" x14ac:dyDescent="0.55000000000000004">
      <c r="A15" s="40">
        <v>13</v>
      </c>
      <c r="B15" s="36">
        <f t="shared" si="0"/>
        <v>0.21111111111111111</v>
      </c>
      <c r="C15" s="37">
        <v>1</v>
      </c>
      <c r="D15" s="38" t="str">
        <f t="array" ref="D15">IFERROR(INDEX(Fichier_initial,SMALL(IF(Id_Impression=$A15,ROW(Fichier_initial)-MIN(ROW(Fichier_initial))+1),COLUMNS($A15:A15))),"")</f>
        <v>leftrobpart3V3</v>
      </c>
      <c r="E15" s="38" t="str">
        <f t="array" ref="E15">IFERROR(INDEX(Fichier_initial,SMALL(IF(Id_Impression=$A15,ROW(Fichier_initial)-MIN(ROW(Fichier_initial))+1),COLUMNS($A15:B15))),"")</f>
        <v/>
      </c>
      <c r="F15" s="38" t="str">
        <f t="array" ref="F15">IFERROR(INDEX(Fichier_initial,SMALL(IF(Id_Impression=$A15,ROW(Fichier_initial)-MIN(ROW(Fichier_initial))+1),COLUMNS($A15:C15))),"")</f>
        <v/>
      </c>
      <c r="G15" s="38" t="str">
        <f t="array" ref="G15">IFERROR(INDEX(Fichier_initial,SMALL(IF(Id_Impression=$A15,ROW(Fichier_initial)-MIN(ROW(Fichier_initial))+1),COLUMNS($A15:D15))),"")</f>
        <v/>
      </c>
      <c r="H15" s="38" t="str">
        <f t="array" ref="H15">IFERROR(INDEX(Fichier_initial,SMALL(IF(Id_Impression=$A15,ROW(Fichier_initial)-MIN(ROW(Fichier_initial))+1),COLUMNS($A15:E15))),"")</f>
        <v/>
      </c>
      <c r="I15" s="38" t="str">
        <f t="array" ref="I15">IFERROR(INDEX(Fichier_initial,SMALL(IF(Id_Impression=$A15,ROW(Fichier_initial)-MIN(ROW(Fichier_initial))+1),COLUMNS($A15:F15))),"")</f>
        <v/>
      </c>
      <c r="J15" s="38" t="str">
        <f t="array" ref="J15">IFERROR(INDEX(Fichier_initial,SMALL(IF(Id_Impression=$A15,ROW(Fichier_initial)-MIN(ROW(Fichier_initial))+1),COLUMNS($A15:G15))),"")</f>
        <v/>
      </c>
      <c r="K15" s="39">
        <f t="array" ref="K15">IFERROR(INDEX(Temps_Total,SMALL(IF(Id_Impression=$A15,ROW(Temps_Total)-MIN(ROW(Temps_Total))+1),COLUMNS($A$3:A15))),"")</f>
        <v>0.21111111111111111</v>
      </c>
      <c r="L15" s="39" t="str">
        <f t="array" ref="L15">IFERROR(INDEX(Temps_Total,SMALL(IF(Id_Impression=$A15,ROW(Temps_Total)-MIN(ROW(Temps_Total))+1),COLUMNS($A$3:B15))),"")</f>
        <v/>
      </c>
      <c r="M15" s="39" t="str">
        <f t="array" ref="M15">IFERROR(INDEX(Temps_Total,SMALL(IF(Id_Impression=$A15,ROW(Temps_Total)-MIN(ROW(Temps_Total))+1),COLUMNS($A$3:C15))),"")</f>
        <v/>
      </c>
      <c r="N15" s="39" t="str">
        <f t="array" ref="N15">IFERROR(INDEX(Temps_Total,SMALL(IF(Id_Impression=$A15,ROW(Temps_Total)-MIN(ROW(Temps_Total))+1),COLUMNS($A$3:D15))),"")</f>
        <v/>
      </c>
      <c r="O15" s="39" t="str">
        <f t="array" ref="O15">IFERROR(INDEX(Temps_Total,SMALL(IF(Id_Impression=$A15,ROW(Temps_Total)-MIN(ROW(Temps_Total))+1),COLUMNS($A$3:E15))),"")</f>
        <v/>
      </c>
      <c r="P15" s="39" t="str">
        <f t="array" ref="P15">IFERROR(INDEX(Temps_Total,SMALL(IF(Id_Impression=$A15,ROW(Temps_Total)-MIN(ROW(Temps_Total))+1),COLUMNS($A$3:F15))),"")</f>
        <v/>
      </c>
      <c r="Q15" s="39" t="str">
        <f t="array" ref="Q15">IFERROR(INDEX(Temps_Total,SMALL(IF(Id_Impression=$A15,ROW(Temps_Total)-MIN(ROW(Temps_Total))+1),COLUMNS($A$3:G15))),"")</f>
        <v/>
      </c>
      <c r="R15" s="38">
        <f t="array" ref="R15">IFERROR(INDEX(Quantité_à_imprimer_12_2017,SMALL(IF(Id_Impression=$A15,ROW(Quantité_à_imprimer_12_2017)-MIN(ROW(Quantité_à_imprimer_12_2017))+1),COLUMNS($A$3:A15))),"")</f>
        <v>1</v>
      </c>
      <c r="S15" s="38" t="str">
        <f t="array" ref="S15">IFERROR(INDEX(Quantité_à_imprimer_12_2017,SMALL(IF(Id_Impression=$A15,ROW(Quantité_à_imprimer_12_2017)-MIN(ROW(Quantité_à_imprimer_12_2017))+1),COLUMNS($A$3:B15))),"")</f>
        <v/>
      </c>
      <c r="T15" s="38" t="str">
        <f t="array" ref="T15">IFERROR(INDEX(Quantité_à_imprimer_12_2017,SMALL(IF(Id_Impression=$A15,ROW(Quantité_à_imprimer_12_2017)-MIN(ROW(Quantité_à_imprimer_12_2017))+1),COLUMNS($A$3:C15))),"")</f>
        <v/>
      </c>
      <c r="U15" s="38" t="str">
        <f t="array" ref="U15">IFERROR(INDEX(Quantité_à_imprimer_12_2017,SMALL(IF(Id_Impression=$A15,ROW(Quantité_à_imprimer_12_2017)-MIN(ROW(Quantité_à_imprimer_12_2017))+1),COLUMNS($A$3:D15))),"")</f>
        <v/>
      </c>
      <c r="V15" s="38" t="str">
        <f t="array" ref="V15">IFERROR(INDEX(Quantité_à_imprimer_12_2017,SMALL(IF(Id_Impression=$A15,ROW(Quantité_à_imprimer_12_2017)-MIN(ROW(Quantité_à_imprimer_12_2017))+1),COLUMNS($A$3:E15))),"")</f>
        <v/>
      </c>
      <c r="W15" s="38" t="str">
        <f t="array" ref="W15">IFERROR(INDEX(Quantité_à_imprimer_12_2017,SMALL(IF(Id_Impression=$A15,ROW(Quantité_à_imprimer_12_2017)-MIN(ROW(Quantité_à_imprimer_12_2017))+1),COLUMNS($A$3:F15))),"")</f>
        <v/>
      </c>
      <c r="X15" s="38" t="str">
        <f t="array" ref="X15">IFERROR(INDEX(Quantité_à_imprimer_12_2017,SMALL(IF(Id_Impression=$A15,ROW(Quantité_à_imprimer_12_2017)-MIN(ROW(Quantité_à_imprimer_12_2017))+1),COLUMNS($A$3:G15))),"")</f>
        <v/>
      </c>
    </row>
    <row r="16" spans="1:24" x14ac:dyDescent="0.55000000000000004">
      <c r="A16" s="40">
        <v>14</v>
      </c>
      <c r="B16" s="36">
        <f t="shared" si="0"/>
        <v>0.3215277777777778</v>
      </c>
      <c r="C16" s="37">
        <v>1</v>
      </c>
      <c r="D16" s="38" t="str">
        <f t="array" ref="D16">IFERROR(INDEX(Fichier_initial,SMALL(IF(Id_Impression=$A16,ROW(Fichier_initial)-MIN(ROW(Fichier_initial))+1),COLUMNS($A16:A16))),"")</f>
        <v>leftrobpart4V3</v>
      </c>
      <c r="E16" s="38" t="str">
        <f t="array" ref="E16">IFERROR(INDEX(Fichier_initial,SMALL(IF(Id_Impression=$A16,ROW(Fichier_initial)-MIN(ROW(Fichier_initial))+1),COLUMNS($A16:B16))),"")</f>
        <v/>
      </c>
      <c r="F16" s="38" t="str">
        <f t="array" ref="F16">IFERROR(INDEX(Fichier_initial,SMALL(IF(Id_Impression=$A16,ROW(Fichier_initial)-MIN(ROW(Fichier_initial))+1),COLUMNS($A16:C16))),"")</f>
        <v/>
      </c>
      <c r="G16" s="38" t="str">
        <f t="array" ref="G16">IFERROR(INDEX(Fichier_initial,SMALL(IF(Id_Impression=$A16,ROW(Fichier_initial)-MIN(ROW(Fichier_initial))+1),COLUMNS($A16:D16))),"")</f>
        <v/>
      </c>
      <c r="H16" s="38" t="str">
        <f t="array" ref="H16">IFERROR(INDEX(Fichier_initial,SMALL(IF(Id_Impression=$A16,ROW(Fichier_initial)-MIN(ROW(Fichier_initial))+1),COLUMNS($A16:E16))),"")</f>
        <v/>
      </c>
      <c r="I16" s="38" t="str">
        <f t="array" ref="I16">IFERROR(INDEX(Fichier_initial,SMALL(IF(Id_Impression=$A16,ROW(Fichier_initial)-MIN(ROW(Fichier_initial))+1),COLUMNS($A16:F16))),"")</f>
        <v/>
      </c>
      <c r="J16" s="38" t="str">
        <f t="array" ref="J16">IFERROR(INDEX(Fichier_initial,SMALL(IF(Id_Impression=$A16,ROW(Fichier_initial)-MIN(ROW(Fichier_initial))+1),COLUMNS($A16:G16))),"")</f>
        <v/>
      </c>
      <c r="K16" s="39">
        <f t="array" ref="K16">IFERROR(INDEX(Temps_Total,SMALL(IF(Id_Impression=$A16,ROW(Temps_Total)-MIN(ROW(Temps_Total))+1),COLUMNS($A$3:A16))),"")</f>
        <v>0.3215277777777778</v>
      </c>
      <c r="L16" s="39" t="str">
        <f t="array" ref="L16">IFERROR(INDEX(Temps_Total,SMALL(IF(Id_Impression=$A16,ROW(Temps_Total)-MIN(ROW(Temps_Total))+1),COLUMNS($A$3:B16))),"")</f>
        <v/>
      </c>
      <c r="M16" s="39" t="str">
        <f t="array" ref="M16">IFERROR(INDEX(Temps_Total,SMALL(IF(Id_Impression=$A16,ROW(Temps_Total)-MIN(ROW(Temps_Total))+1),COLUMNS($A$3:C16))),"")</f>
        <v/>
      </c>
      <c r="N16" s="39" t="str">
        <f t="array" ref="N16">IFERROR(INDEX(Temps_Total,SMALL(IF(Id_Impression=$A16,ROW(Temps_Total)-MIN(ROW(Temps_Total))+1),COLUMNS($A$3:D16))),"")</f>
        <v/>
      </c>
      <c r="O16" s="39" t="str">
        <f t="array" ref="O16">IFERROR(INDEX(Temps_Total,SMALL(IF(Id_Impression=$A16,ROW(Temps_Total)-MIN(ROW(Temps_Total))+1),COLUMNS($A$3:E16))),"")</f>
        <v/>
      </c>
      <c r="P16" s="39" t="str">
        <f t="array" ref="P16">IFERROR(INDEX(Temps_Total,SMALL(IF(Id_Impression=$A16,ROW(Temps_Total)-MIN(ROW(Temps_Total))+1),COLUMNS($A$3:F16))),"")</f>
        <v/>
      </c>
      <c r="Q16" s="39" t="str">
        <f t="array" ref="Q16">IFERROR(INDEX(Temps_Total,SMALL(IF(Id_Impression=$A16,ROW(Temps_Total)-MIN(ROW(Temps_Total))+1),COLUMNS($A$3:G16))),"")</f>
        <v/>
      </c>
      <c r="R16" s="38">
        <f t="array" ref="R16">IFERROR(INDEX(Quantité_à_imprimer_12_2017,SMALL(IF(Id_Impression=$A16,ROW(Quantité_à_imprimer_12_2017)-MIN(ROW(Quantité_à_imprimer_12_2017))+1),COLUMNS($A$3:A16))),"")</f>
        <v>1</v>
      </c>
      <c r="S16" s="38" t="str">
        <f t="array" ref="S16">IFERROR(INDEX(Quantité_à_imprimer_12_2017,SMALL(IF(Id_Impression=$A16,ROW(Quantité_à_imprimer_12_2017)-MIN(ROW(Quantité_à_imprimer_12_2017))+1),COLUMNS($A$3:B16))),"")</f>
        <v/>
      </c>
      <c r="T16" s="38" t="str">
        <f t="array" ref="T16">IFERROR(INDEX(Quantité_à_imprimer_12_2017,SMALL(IF(Id_Impression=$A16,ROW(Quantité_à_imprimer_12_2017)-MIN(ROW(Quantité_à_imprimer_12_2017))+1),COLUMNS($A$3:C16))),"")</f>
        <v/>
      </c>
      <c r="U16" s="38" t="str">
        <f t="array" ref="U16">IFERROR(INDEX(Quantité_à_imprimer_12_2017,SMALL(IF(Id_Impression=$A16,ROW(Quantité_à_imprimer_12_2017)-MIN(ROW(Quantité_à_imprimer_12_2017))+1),COLUMNS($A$3:D16))),"")</f>
        <v/>
      </c>
      <c r="V16" s="38" t="str">
        <f t="array" ref="V16">IFERROR(INDEX(Quantité_à_imprimer_12_2017,SMALL(IF(Id_Impression=$A16,ROW(Quantité_à_imprimer_12_2017)-MIN(ROW(Quantité_à_imprimer_12_2017))+1),COLUMNS($A$3:E16))),"")</f>
        <v/>
      </c>
      <c r="W16" s="38" t="str">
        <f t="array" ref="W16">IFERROR(INDEX(Quantité_à_imprimer_12_2017,SMALL(IF(Id_Impression=$A16,ROW(Quantité_à_imprimer_12_2017)-MIN(ROW(Quantité_à_imprimer_12_2017))+1),COLUMNS($A$3:F16))),"")</f>
        <v/>
      </c>
      <c r="X16" s="38" t="str">
        <f t="array" ref="X16">IFERROR(INDEX(Quantité_à_imprimer_12_2017,SMALL(IF(Id_Impression=$A16,ROW(Quantité_à_imprimer_12_2017)-MIN(ROW(Quantité_à_imprimer_12_2017))+1),COLUMNS($A$3:G16))),"")</f>
        <v/>
      </c>
    </row>
    <row r="17" spans="1:24" x14ac:dyDescent="0.55000000000000004">
      <c r="A17" s="40">
        <v>15</v>
      </c>
      <c r="B17" s="36">
        <f t="shared" si="0"/>
        <v>0.18333333333333332</v>
      </c>
      <c r="C17" s="37">
        <v>4</v>
      </c>
      <c r="D17" s="38" t="str">
        <f t="array" ref="D17">IFERROR(INDEX(Fichier_initial,SMALL(IF(Id_Impression=$A17,ROW(Fichier_initial)-MIN(ROW(Fichier_initial))+1),COLUMNS($A17:A17))),"")</f>
        <v>RobRingV3</v>
      </c>
      <c r="E17" s="38" t="str">
        <f t="array" ref="E17">IFERROR(INDEX(Fichier_initial,SMALL(IF(Id_Impression=$A17,ROW(Fichier_initial)-MIN(ROW(Fichier_initial))+1),COLUMNS($A17:B17))),"")</f>
        <v>LeftCableHolderWristV5</v>
      </c>
      <c r="F17" s="38" t="str">
        <f t="array" ref="F17">IFERROR(INDEX(Fichier_initial,SMALL(IF(Id_Impression=$A17,ROW(Fichier_initial)-MIN(ROW(Fichier_initial))+1),COLUMNS($A17:C17))),"")</f>
        <v>RotaWrist3V3</v>
      </c>
      <c r="G17" s="38" t="str">
        <f t="array" ref="G17">IFERROR(INDEX(Fichier_initial,SMALL(IF(Id_Impression=$A17,ROW(Fichier_initial)-MIN(ROW(Fichier_initial))+1),COLUMNS($A17:D17))),"")</f>
        <v>WristGearsV5</v>
      </c>
      <c r="H17" s="38" t="str">
        <f t="array" ref="H17">IFERROR(INDEX(Fichier_initial,SMALL(IF(Id_Impression=$A17,ROW(Fichier_initial)-MIN(ROW(Fichier_initial))+1),COLUMNS($A17:E17))),"")</f>
        <v/>
      </c>
      <c r="I17" s="38" t="str">
        <f t="array" ref="I17">IFERROR(INDEX(Fichier_initial,SMALL(IF(Id_Impression=$A17,ROW(Fichier_initial)-MIN(ROW(Fichier_initial))+1),COLUMNS($A17:F17))),"")</f>
        <v/>
      </c>
      <c r="J17" s="38" t="str">
        <f t="array" ref="J17">IFERROR(INDEX(Fichier_initial,SMALL(IF(Id_Impression=$A17,ROW(Fichier_initial)-MIN(ROW(Fichier_initial))+1),COLUMNS($A17:G17))),"")</f>
        <v/>
      </c>
      <c r="K17" s="39">
        <f t="array" ref="K17">IFERROR(INDEX(Temps_Total,SMALL(IF(Id_Impression=$A17,ROW(Temps_Total)-MIN(ROW(Temps_Total))+1),COLUMNS($A$3:A17))),"")</f>
        <v>5.9722222222222225E-2</v>
      </c>
      <c r="L17" s="39">
        <f t="array" ref="L17">IFERROR(INDEX(Temps_Total,SMALL(IF(Id_Impression=$A17,ROW(Temps_Total)-MIN(ROW(Temps_Total))+1),COLUMNS($A$3:B17))),"")</f>
        <v>2.6388888888888889E-2</v>
      </c>
      <c r="M17" s="39">
        <f t="array" ref="M17">IFERROR(INDEX(Temps_Total,SMALL(IF(Id_Impression=$A17,ROW(Temps_Total)-MIN(ROW(Temps_Total))+1),COLUMNS($A$3:C17))),"")</f>
        <v>4.027777777777778E-2</v>
      </c>
      <c r="N17" s="39">
        <f t="array" ref="N17">IFERROR(INDEX(Temps_Total,SMALL(IF(Id_Impression=$A17,ROW(Temps_Total)-MIN(ROW(Temps_Total))+1),COLUMNS($A$3:D17))),"")</f>
        <v>5.6944444444444443E-2</v>
      </c>
      <c r="O17" s="39" t="str">
        <f t="array" ref="O17">IFERROR(INDEX(Temps_Total,SMALL(IF(Id_Impression=$A17,ROW(Temps_Total)-MIN(ROW(Temps_Total))+1),COLUMNS($A$3:E17))),"")</f>
        <v/>
      </c>
      <c r="P17" s="39" t="str">
        <f t="array" ref="P17">IFERROR(INDEX(Temps_Total,SMALL(IF(Id_Impression=$A17,ROW(Temps_Total)-MIN(ROW(Temps_Total))+1),COLUMNS($A$3:F17))),"")</f>
        <v/>
      </c>
      <c r="Q17" s="39" t="str">
        <f t="array" ref="Q17">IFERROR(INDEX(Temps_Total,SMALL(IF(Id_Impression=$A17,ROW(Temps_Total)-MIN(ROW(Temps_Total))+1),COLUMNS($A$3:G17))),"")</f>
        <v/>
      </c>
      <c r="R17" s="38">
        <f t="array" ref="R17">IFERROR(INDEX(Quantité_à_imprimer_12_2017,SMALL(IF(Id_Impression=$A17,ROW(Quantité_à_imprimer_12_2017)-MIN(ROW(Quantité_à_imprimer_12_2017))+1),COLUMNS($A$3:A17))),"")</f>
        <v>1</v>
      </c>
      <c r="S17" s="38">
        <f t="array" ref="S17">IFERROR(INDEX(Quantité_à_imprimer_12_2017,SMALL(IF(Id_Impression=$A17,ROW(Quantité_à_imprimer_12_2017)-MIN(ROW(Quantité_à_imprimer_12_2017))+1),COLUMNS($A$3:B17))),"")</f>
        <v>1</v>
      </c>
      <c r="T17" s="38">
        <f t="array" ref="T17">IFERROR(INDEX(Quantité_à_imprimer_12_2017,SMALL(IF(Id_Impression=$A17,ROW(Quantité_à_imprimer_12_2017)-MIN(ROW(Quantité_à_imprimer_12_2017))+1),COLUMNS($A$3:C17))),"")</f>
        <v>1</v>
      </c>
      <c r="U17" s="38">
        <f t="array" ref="U17">IFERROR(INDEX(Quantité_à_imprimer_12_2017,SMALL(IF(Id_Impression=$A17,ROW(Quantité_à_imprimer_12_2017)-MIN(ROW(Quantité_à_imprimer_12_2017))+1),COLUMNS($A$3:D17))),"")</f>
        <v>1</v>
      </c>
      <c r="V17" s="38" t="str">
        <f t="array" ref="V17">IFERROR(INDEX(Quantité_à_imprimer_12_2017,SMALL(IF(Id_Impression=$A17,ROW(Quantité_à_imprimer_12_2017)-MIN(ROW(Quantité_à_imprimer_12_2017))+1),COLUMNS($A$3:E17))),"")</f>
        <v/>
      </c>
      <c r="W17" s="38" t="str">
        <f t="array" ref="W17">IFERROR(INDEX(Quantité_à_imprimer_12_2017,SMALL(IF(Id_Impression=$A17,ROW(Quantité_à_imprimer_12_2017)-MIN(ROW(Quantité_à_imprimer_12_2017))+1),COLUMNS($A$3:F17))),"")</f>
        <v/>
      </c>
      <c r="X17" s="38" t="str">
        <f t="array" ref="X17">IFERROR(INDEX(Quantité_à_imprimer_12_2017,SMALL(IF(Id_Impression=$A17,ROW(Quantité_à_imprimer_12_2017)-MIN(ROW(Quantité_à_imprimer_12_2017))+1),COLUMNS($A$3:G17))),"")</f>
        <v/>
      </c>
    </row>
    <row r="18" spans="1:24" x14ac:dyDescent="0.55000000000000004">
      <c r="A18" s="40">
        <v>16</v>
      </c>
      <c r="B18" s="36">
        <f t="shared" si="0"/>
        <v>9.5138888888888884E-2</v>
      </c>
      <c r="C18" s="37">
        <v>1</v>
      </c>
      <c r="D18" s="38" t="str">
        <f t="array" ref="D18">IFERROR(INDEX(Fichier_initial,SMALL(IF(Id_Impression=$A18,ROW(Fichier_initial)-MIN(ROW(Fichier_initial))+1),COLUMNS($A18:A18))),"")</f>
        <v>LeftRotaWrist2V3</v>
      </c>
      <c r="E18" s="38" t="str">
        <f t="array" ref="E18">IFERROR(INDEX(Fichier_initial,SMALL(IF(Id_Impression=$A18,ROW(Fichier_initial)-MIN(ROW(Fichier_initial))+1),COLUMNS($A18:B18))),"")</f>
        <v/>
      </c>
      <c r="F18" s="38" t="str">
        <f t="array" ref="F18">IFERROR(INDEX(Fichier_initial,SMALL(IF(Id_Impression=$A18,ROW(Fichier_initial)-MIN(ROW(Fichier_initial))+1),COLUMNS($A18:C18))),"")</f>
        <v/>
      </c>
      <c r="G18" s="38" t="str">
        <f t="array" ref="G18">IFERROR(INDEX(Fichier_initial,SMALL(IF(Id_Impression=$A18,ROW(Fichier_initial)-MIN(ROW(Fichier_initial))+1),COLUMNS($A18:D18))),"")</f>
        <v/>
      </c>
      <c r="H18" s="38" t="str">
        <f t="array" ref="H18">IFERROR(INDEX(Fichier_initial,SMALL(IF(Id_Impression=$A18,ROW(Fichier_initial)-MIN(ROW(Fichier_initial))+1),COLUMNS($A18:E18))),"")</f>
        <v/>
      </c>
      <c r="I18" s="38" t="str">
        <f t="array" ref="I18">IFERROR(INDEX(Fichier_initial,SMALL(IF(Id_Impression=$A18,ROW(Fichier_initial)-MIN(ROW(Fichier_initial))+1),COLUMNS($A18:F18))),"")</f>
        <v/>
      </c>
      <c r="J18" s="38" t="str">
        <f t="array" ref="J18">IFERROR(INDEX(Fichier_initial,SMALL(IF(Id_Impression=$A18,ROW(Fichier_initial)-MIN(ROW(Fichier_initial))+1),COLUMNS($A18:G18))),"")</f>
        <v/>
      </c>
      <c r="K18" s="39">
        <f t="array" ref="K18">IFERROR(INDEX(Temps_Total,SMALL(IF(Id_Impression=$A18,ROW(Temps_Total)-MIN(ROW(Temps_Total))+1),COLUMNS($A$3:A18))),"")</f>
        <v>9.5138888888888884E-2</v>
      </c>
      <c r="L18" s="39" t="str">
        <f t="array" ref="L18">IFERROR(INDEX(Temps_Total,SMALL(IF(Id_Impression=$A18,ROW(Temps_Total)-MIN(ROW(Temps_Total))+1),COLUMNS($A$3:B18))),"")</f>
        <v/>
      </c>
      <c r="M18" s="39" t="str">
        <f t="array" ref="M18">IFERROR(INDEX(Temps_Total,SMALL(IF(Id_Impression=$A18,ROW(Temps_Total)-MIN(ROW(Temps_Total))+1),COLUMNS($A$3:C18))),"")</f>
        <v/>
      </c>
      <c r="N18" s="39" t="str">
        <f t="array" ref="N18">IFERROR(INDEX(Temps_Total,SMALL(IF(Id_Impression=$A18,ROW(Temps_Total)-MIN(ROW(Temps_Total))+1),COLUMNS($A$3:D18))),"")</f>
        <v/>
      </c>
      <c r="O18" s="39" t="str">
        <f t="array" ref="O18">IFERROR(INDEX(Temps_Total,SMALL(IF(Id_Impression=$A18,ROW(Temps_Total)-MIN(ROW(Temps_Total))+1),COLUMNS($A$3:E18))),"")</f>
        <v/>
      </c>
      <c r="P18" s="39" t="str">
        <f t="array" ref="P18">IFERROR(INDEX(Temps_Total,SMALL(IF(Id_Impression=$A18,ROW(Temps_Total)-MIN(ROW(Temps_Total))+1),COLUMNS($A$3:F18))),"")</f>
        <v/>
      </c>
      <c r="Q18" s="39" t="str">
        <f t="array" ref="Q18">IFERROR(INDEX(Temps_Total,SMALL(IF(Id_Impression=$A18,ROW(Temps_Total)-MIN(ROW(Temps_Total))+1),COLUMNS($A$3:G18))),"")</f>
        <v/>
      </c>
      <c r="R18" s="38">
        <f t="array" ref="R18">IFERROR(INDEX(Quantité_à_imprimer_12_2017,SMALL(IF(Id_Impression=$A18,ROW(Quantité_à_imprimer_12_2017)-MIN(ROW(Quantité_à_imprimer_12_2017))+1),COLUMNS($A$3:A18))),"")</f>
        <v>1</v>
      </c>
      <c r="S18" s="38" t="str">
        <f t="array" ref="S18">IFERROR(INDEX(Quantité_à_imprimer_12_2017,SMALL(IF(Id_Impression=$A18,ROW(Quantité_à_imprimer_12_2017)-MIN(ROW(Quantité_à_imprimer_12_2017))+1),COLUMNS($A$3:B18))),"")</f>
        <v/>
      </c>
      <c r="T18" s="38" t="str">
        <f t="array" ref="T18">IFERROR(INDEX(Quantité_à_imprimer_12_2017,SMALL(IF(Id_Impression=$A18,ROW(Quantité_à_imprimer_12_2017)-MIN(ROW(Quantité_à_imprimer_12_2017))+1),COLUMNS($A$3:C18))),"")</f>
        <v/>
      </c>
      <c r="U18" s="38" t="str">
        <f t="array" ref="U18">IFERROR(INDEX(Quantité_à_imprimer_12_2017,SMALL(IF(Id_Impression=$A18,ROW(Quantité_à_imprimer_12_2017)-MIN(ROW(Quantité_à_imprimer_12_2017))+1),COLUMNS($A$3:D18))),"")</f>
        <v/>
      </c>
      <c r="V18" s="38" t="str">
        <f t="array" ref="V18">IFERROR(INDEX(Quantité_à_imprimer_12_2017,SMALL(IF(Id_Impression=$A18,ROW(Quantité_à_imprimer_12_2017)-MIN(ROW(Quantité_à_imprimer_12_2017))+1),COLUMNS($A$3:E18))),"")</f>
        <v/>
      </c>
      <c r="W18" s="38" t="str">
        <f t="array" ref="W18">IFERROR(INDEX(Quantité_à_imprimer_12_2017,SMALL(IF(Id_Impression=$A18,ROW(Quantité_à_imprimer_12_2017)-MIN(ROW(Quantité_à_imprimer_12_2017))+1),COLUMNS($A$3:F18))),"")</f>
        <v/>
      </c>
      <c r="X18" s="38" t="str">
        <f t="array" ref="X18">IFERROR(INDEX(Quantité_à_imprimer_12_2017,SMALL(IF(Id_Impression=$A18,ROW(Quantité_à_imprimer_12_2017)-MIN(ROW(Quantité_à_imprimer_12_2017))+1),COLUMNS($A$3:G18))),"")</f>
        <v/>
      </c>
    </row>
    <row r="19" spans="1:24" x14ac:dyDescent="0.55000000000000004">
      <c r="A19" s="40">
        <v>17</v>
      </c>
      <c r="B19" s="36">
        <f t="shared" si="0"/>
        <v>0.19513888888888889</v>
      </c>
      <c r="C19" s="37">
        <v>1</v>
      </c>
      <c r="D19" s="38" t="str">
        <f t="array" ref="D19">IFERROR(INDEX(Fichier_initial,SMALL(IF(Id_Impression=$A19,ROW(Fichier_initial)-MIN(ROW(Fichier_initial))+1),COLUMNS($A19:A19))),"")</f>
        <v>LeftRotawrist1V4</v>
      </c>
      <c r="E19" s="38" t="str">
        <f t="array" ref="E19">IFERROR(INDEX(Fichier_initial,SMALL(IF(Id_Impression=$A19,ROW(Fichier_initial)-MIN(ROW(Fichier_initial))+1),COLUMNS($A19:B19))),"")</f>
        <v/>
      </c>
      <c r="F19" s="38" t="str">
        <f t="array" ref="F19">IFERROR(INDEX(Fichier_initial,SMALL(IF(Id_Impression=$A19,ROW(Fichier_initial)-MIN(ROW(Fichier_initial))+1),COLUMNS($A19:C19))),"")</f>
        <v/>
      </c>
      <c r="G19" s="38" t="str">
        <f t="array" ref="G19">IFERROR(INDEX(Fichier_initial,SMALL(IF(Id_Impression=$A19,ROW(Fichier_initial)-MIN(ROW(Fichier_initial))+1),COLUMNS($A19:D19))),"")</f>
        <v/>
      </c>
      <c r="H19" s="38" t="str">
        <f t="array" ref="H19">IFERROR(INDEX(Fichier_initial,SMALL(IF(Id_Impression=$A19,ROW(Fichier_initial)-MIN(ROW(Fichier_initial))+1),COLUMNS($A19:E19))),"")</f>
        <v/>
      </c>
      <c r="I19" s="38" t="str">
        <f t="array" ref="I19">IFERROR(INDEX(Fichier_initial,SMALL(IF(Id_Impression=$A19,ROW(Fichier_initial)-MIN(ROW(Fichier_initial))+1),COLUMNS($A19:F19))),"")</f>
        <v/>
      </c>
      <c r="J19" s="38" t="str">
        <f t="array" ref="J19">IFERROR(INDEX(Fichier_initial,SMALL(IF(Id_Impression=$A19,ROW(Fichier_initial)-MIN(ROW(Fichier_initial))+1),COLUMNS($A19:G19))),"")</f>
        <v/>
      </c>
      <c r="K19" s="39">
        <f t="array" ref="K19">IFERROR(INDEX(Temps_Total,SMALL(IF(Id_Impression=$A19,ROW(Temps_Total)-MIN(ROW(Temps_Total))+1),COLUMNS($A$3:A19))),"")</f>
        <v>0.19513888888888889</v>
      </c>
      <c r="L19" s="39" t="str">
        <f t="array" ref="L19">IFERROR(INDEX(Temps_Total,SMALL(IF(Id_Impression=$A19,ROW(Temps_Total)-MIN(ROW(Temps_Total))+1),COLUMNS($A$3:B19))),"")</f>
        <v/>
      </c>
      <c r="M19" s="39" t="str">
        <f t="array" ref="M19">IFERROR(INDEX(Temps_Total,SMALL(IF(Id_Impression=$A19,ROW(Temps_Total)-MIN(ROW(Temps_Total))+1),COLUMNS($A$3:C19))),"")</f>
        <v/>
      </c>
      <c r="N19" s="39" t="str">
        <f t="array" ref="N19">IFERROR(INDEX(Temps_Total,SMALL(IF(Id_Impression=$A19,ROW(Temps_Total)-MIN(ROW(Temps_Total))+1),COLUMNS($A$3:D19))),"")</f>
        <v/>
      </c>
      <c r="O19" s="39" t="str">
        <f t="array" ref="O19">IFERROR(INDEX(Temps_Total,SMALL(IF(Id_Impression=$A19,ROW(Temps_Total)-MIN(ROW(Temps_Total))+1),COLUMNS($A$3:E19))),"")</f>
        <v/>
      </c>
      <c r="P19" s="39" t="str">
        <f t="array" ref="P19">IFERROR(INDEX(Temps_Total,SMALL(IF(Id_Impression=$A19,ROW(Temps_Total)-MIN(ROW(Temps_Total))+1),COLUMNS($A$3:F19))),"")</f>
        <v/>
      </c>
      <c r="Q19" s="39" t="str">
        <f t="array" ref="Q19">IFERROR(INDEX(Temps_Total,SMALL(IF(Id_Impression=$A19,ROW(Temps_Total)-MIN(ROW(Temps_Total))+1),COLUMNS($A$3:G19))),"")</f>
        <v/>
      </c>
      <c r="R19" s="38">
        <f t="array" ref="R19">IFERROR(INDEX(Quantité_à_imprimer_12_2017,SMALL(IF(Id_Impression=$A19,ROW(Quantité_à_imprimer_12_2017)-MIN(ROW(Quantité_à_imprimer_12_2017))+1),COLUMNS($A$3:A19))),"")</f>
        <v>1</v>
      </c>
      <c r="S19" s="38" t="str">
        <f t="array" ref="S19">IFERROR(INDEX(Quantité_à_imprimer_12_2017,SMALL(IF(Id_Impression=$A19,ROW(Quantité_à_imprimer_12_2017)-MIN(ROW(Quantité_à_imprimer_12_2017))+1),COLUMNS($A$3:B19))),"")</f>
        <v/>
      </c>
      <c r="T19" s="38" t="str">
        <f t="array" ref="T19">IFERROR(INDEX(Quantité_à_imprimer_12_2017,SMALL(IF(Id_Impression=$A19,ROW(Quantité_à_imprimer_12_2017)-MIN(ROW(Quantité_à_imprimer_12_2017))+1),COLUMNS($A$3:C19))),"")</f>
        <v/>
      </c>
      <c r="U19" s="38" t="str">
        <f t="array" ref="U19">IFERROR(INDEX(Quantité_à_imprimer_12_2017,SMALL(IF(Id_Impression=$A19,ROW(Quantité_à_imprimer_12_2017)-MIN(ROW(Quantité_à_imprimer_12_2017))+1),COLUMNS($A$3:D19))),"")</f>
        <v/>
      </c>
      <c r="V19" s="38" t="str">
        <f t="array" ref="V19">IFERROR(INDEX(Quantité_à_imprimer_12_2017,SMALL(IF(Id_Impression=$A19,ROW(Quantité_à_imprimer_12_2017)-MIN(ROW(Quantité_à_imprimer_12_2017))+1),COLUMNS($A$3:E19))),"")</f>
        <v/>
      </c>
      <c r="W19" s="38" t="str">
        <f t="array" ref="W19">IFERROR(INDEX(Quantité_à_imprimer_12_2017,SMALL(IF(Id_Impression=$A19,ROW(Quantité_à_imprimer_12_2017)-MIN(ROW(Quantité_à_imprimer_12_2017))+1),COLUMNS($A$3:F19))),"")</f>
        <v/>
      </c>
      <c r="X19" s="38" t="str">
        <f t="array" ref="X19">IFERROR(INDEX(Quantité_à_imprimer_12_2017,SMALL(IF(Id_Impression=$A19,ROW(Quantité_à_imprimer_12_2017)-MIN(ROW(Quantité_à_imprimer_12_2017))+1),COLUMNS($A$3:G19))),"")</f>
        <v/>
      </c>
    </row>
    <row r="20" spans="1:24" x14ac:dyDescent="0.55000000000000004">
      <c r="A20" s="40">
        <v>18</v>
      </c>
      <c r="B20" s="36">
        <f t="shared" si="0"/>
        <v>0.15138888888888888</v>
      </c>
      <c r="C20" s="37">
        <v>3</v>
      </c>
      <c r="D20" s="38" t="str">
        <f t="array" ref="D20">IFERROR(INDEX(Fichier_initial,SMALL(IF(Id_Impression=$A20,ROW(Fichier_initial)-MIN(ROW(Fichier_initial))+1),COLUMNS($A20:A20))),"")</f>
        <v>gearpotentioV1</v>
      </c>
      <c r="E20" s="38" t="str">
        <f t="array" ref="E20">IFERROR(INDEX(Fichier_initial,SMALL(IF(Id_Impression=$A20,ROW(Fichier_initial)-MIN(ROW(Fichier_initial))+1),COLUMNS($A20:B20))),"")</f>
        <v>RotPotentioV2</v>
      </c>
      <c r="F20" s="38" t="str">
        <f t="array" ref="F20">IFERROR(INDEX(Fichier_initial,SMALL(IF(Id_Impression=$A20,ROW(Fichier_initial)-MIN(ROW(Fichier_initial))+1),COLUMNS($A20:C20))),"")</f>
        <v>RotMitV2</v>
      </c>
      <c r="G20" s="38" t="str">
        <f t="array" ref="G20">IFERROR(INDEX(Fichier_initial,SMALL(IF(Id_Impression=$A20,ROW(Fichier_initial)-MIN(ROW(Fichier_initial))+1),COLUMNS($A20:D20))),"")</f>
        <v/>
      </c>
      <c r="H20" s="38" t="str">
        <f t="array" ref="H20">IFERROR(INDEX(Fichier_initial,SMALL(IF(Id_Impression=$A20,ROW(Fichier_initial)-MIN(ROW(Fichier_initial))+1),COLUMNS($A20:E20))),"")</f>
        <v/>
      </c>
      <c r="I20" s="38" t="str">
        <f t="array" ref="I20">IFERROR(INDEX(Fichier_initial,SMALL(IF(Id_Impression=$A20,ROW(Fichier_initial)-MIN(ROW(Fichier_initial))+1),COLUMNS($A20:F20))),"")</f>
        <v/>
      </c>
      <c r="J20" s="38" t="str">
        <f t="array" ref="J20">IFERROR(INDEX(Fichier_initial,SMALL(IF(Id_Impression=$A20,ROW(Fichier_initial)-MIN(ROW(Fichier_initial))+1),COLUMNS($A20:G20))),"")</f>
        <v/>
      </c>
      <c r="K20" s="39">
        <f t="array" ref="K20">IFERROR(INDEX(Temps_Total,SMALL(IF(Id_Impression=$A20,ROW(Temps_Total)-MIN(ROW(Temps_Total))+1),COLUMNS($A$3:A20))),"")</f>
        <v>1.1111111111111112E-2</v>
      </c>
      <c r="L20" s="39">
        <f t="array" ref="L20">IFERROR(INDEX(Temps_Total,SMALL(IF(Id_Impression=$A20,ROW(Temps_Total)-MIN(ROW(Temps_Total))+1),COLUMNS($A$3:B20))),"")</f>
        <v>1.3194444444444444E-2</v>
      </c>
      <c r="M20" s="39">
        <f t="array" ref="M20">IFERROR(INDEX(Temps_Total,SMALL(IF(Id_Impression=$A20,ROW(Temps_Total)-MIN(ROW(Temps_Total))+1),COLUMNS($A$3:C20))),"")</f>
        <v>0.12708333333333333</v>
      </c>
      <c r="N20" s="39" t="str">
        <f t="array" ref="N20">IFERROR(INDEX(Temps_Total,SMALL(IF(Id_Impression=$A20,ROW(Temps_Total)-MIN(ROW(Temps_Total))+1),COLUMNS($A$3:D20))),"")</f>
        <v/>
      </c>
      <c r="O20" s="39" t="str">
        <f t="array" ref="O20">IFERROR(INDEX(Temps_Total,SMALL(IF(Id_Impression=$A20,ROW(Temps_Total)-MIN(ROW(Temps_Total))+1),COLUMNS($A$3:E20))),"")</f>
        <v/>
      </c>
      <c r="P20" s="39" t="str">
        <f t="array" ref="P20">IFERROR(INDEX(Temps_Total,SMALL(IF(Id_Impression=$A20,ROW(Temps_Total)-MIN(ROW(Temps_Total))+1),COLUMNS($A$3:F20))),"")</f>
        <v/>
      </c>
      <c r="Q20" s="39" t="str">
        <f t="array" ref="Q20">IFERROR(INDEX(Temps_Total,SMALL(IF(Id_Impression=$A20,ROW(Temps_Total)-MIN(ROW(Temps_Total))+1),COLUMNS($A$3:G20))),"")</f>
        <v/>
      </c>
      <c r="R20" s="38">
        <f t="array" ref="R20">IFERROR(INDEX(Quantité_à_imprimer_12_2017,SMALL(IF(Id_Impression=$A20,ROW(Quantité_à_imprimer_12_2017)-MIN(ROW(Quantité_à_imprimer_12_2017))+1),COLUMNS($A$3:A20))),"")</f>
        <v>1</v>
      </c>
      <c r="S20" s="38">
        <f t="array" ref="S20">IFERROR(INDEX(Quantité_à_imprimer_12_2017,SMALL(IF(Id_Impression=$A20,ROW(Quantité_à_imprimer_12_2017)-MIN(ROW(Quantité_à_imprimer_12_2017))+1),COLUMNS($A$3:B20))),"")</f>
        <v>1</v>
      </c>
      <c r="T20" s="38">
        <f t="array" ref="T20">IFERROR(INDEX(Quantité_à_imprimer_12_2017,SMALL(IF(Id_Impression=$A20,ROW(Quantité_à_imprimer_12_2017)-MIN(ROW(Quantité_à_imprimer_12_2017))+1),COLUMNS($A$3:C20))),"")</f>
        <v>1</v>
      </c>
      <c r="U20" s="38" t="str">
        <f t="array" ref="U20">IFERROR(INDEX(Quantité_à_imprimer_12_2017,SMALL(IF(Id_Impression=$A20,ROW(Quantité_à_imprimer_12_2017)-MIN(ROW(Quantité_à_imprimer_12_2017))+1),COLUMNS($A$3:D20))),"")</f>
        <v/>
      </c>
      <c r="V20" s="38" t="str">
        <f t="array" ref="V20">IFERROR(INDEX(Quantité_à_imprimer_12_2017,SMALL(IF(Id_Impression=$A20,ROW(Quantité_à_imprimer_12_2017)-MIN(ROW(Quantité_à_imprimer_12_2017))+1),COLUMNS($A$3:E20))),"")</f>
        <v/>
      </c>
      <c r="W20" s="38" t="str">
        <f t="array" ref="W20">IFERROR(INDEX(Quantité_à_imprimer_12_2017,SMALL(IF(Id_Impression=$A20,ROW(Quantité_à_imprimer_12_2017)-MIN(ROW(Quantité_à_imprimer_12_2017))+1),COLUMNS($A$3:F20))),"")</f>
        <v/>
      </c>
      <c r="X20" s="38" t="str">
        <f t="array" ref="X20">IFERROR(INDEX(Quantité_à_imprimer_12_2017,SMALL(IF(Id_Impression=$A20,ROW(Quantité_à_imprimer_12_2017)-MIN(ROW(Quantité_à_imprimer_12_2017))+1),COLUMNS($A$3:G20))),"")</f>
        <v/>
      </c>
    </row>
    <row r="21" spans="1:24" x14ac:dyDescent="0.55000000000000004">
      <c r="A21" s="40">
        <v>19</v>
      </c>
      <c r="B21" s="36">
        <f t="shared" si="0"/>
        <v>0.1701388888888889</v>
      </c>
      <c r="C21" s="37">
        <v>3</v>
      </c>
      <c r="D21" s="38" t="str">
        <f t="array" ref="D21">IFERROR(INDEX(Fichier_initial,SMALL(IF(Id_Impression=$A21,ROW(Fichier_initial)-MIN(ROW(Fichier_initial))+1),COLUMNS($A21:A21))),"")</f>
        <v>GearHolderV1</v>
      </c>
      <c r="E21" s="38" t="str">
        <f t="array" ref="E21">IFERROR(INDEX(Fichier_initial,SMALL(IF(Id_Impression=$A21,ROW(Fichier_initial)-MIN(ROW(Fichier_initial))+1),COLUMNS($A21:B21))),"")</f>
        <v>spacerV1</v>
      </c>
      <c r="F21" s="38" t="str">
        <f t="array" ref="F21">IFERROR(INDEX(Fichier_initial,SMALL(IF(Id_Impression=$A21,ROW(Fichier_initial)-MIN(ROW(Fichier_initial))+1),COLUMNS($A21:C21))),"")</f>
        <v>RotGearV4</v>
      </c>
      <c r="G21" s="38" t="str">
        <f t="array" ref="G21">IFERROR(INDEX(Fichier_initial,SMALL(IF(Id_Impression=$A21,ROW(Fichier_initial)-MIN(ROW(Fichier_initial))+1),COLUMNS($A21:D21))),"")</f>
        <v/>
      </c>
      <c r="H21" s="38" t="str">
        <f t="array" ref="H21">IFERROR(INDEX(Fichier_initial,SMALL(IF(Id_Impression=$A21,ROW(Fichier_initial)-MIN(ROW(Fichier_initial))+1),COLUMNS($A21:E21))),"")</f>
        <v/>
      </c>
      <c r="I21" s="38" t="str">
        <f t="array" ref="I21">IFERROR(INDEX(Fichier_initial,SMALL(IF(Id_Impression=$A21,ROW(Fichier_initial)-MIN(ROW(Fichier_initial))+1),COLUMNS($A21:F21))),"")</f>
        <v/>
      </c>
      <c r="J21" s="38" t="str">
        <f t="array" ref="J21">IFERROR(INDEX(Fichier_initial,SMALL(IF(Id_Impression=$A21,ROW(Fichier_initial)-MIN(ROW(Fichier_initial))+1),COLUMNS($A21:G21))),"")</f>
        <v/>
      </c>
      <c r="K21" s="39">
        <f t="array" ref="K21">IFERROR(INDEX(Temps_Total,SMALL(IF(Id_Impression=$A21,ROW(Temps_Total)-MIN(ROW(Temps_Total))+1),COLUMNS($A$3:A21))),"")</f>
        <v>1.5972222222222224E-2</v>
      </c>
      <c r="L21" s="39">
        <f t="array" ref="L21">IFERROR(INDEX(Temps_Total,SMALL(IF(Id_Impression=$A21,ROW(Temps_Total)-MIN(ROW(Temps_Total))+1),COLUMNS($A$3:B21))),"")</f>
        <v>2.5694444444444447E-2</v>
      </c>
      <c r="M21" s="39">
        <f t="array" ref="M21">IFERROR(INDEX(Temps_Total,SMALL(IF(Id_Impression=$A21,ROW(Temps_Total)-MIN(ROW(Temps_Total))+1),COLUMNS($A$3:C21))),"")</f>
        <v>0.12847222222222224</v>
      </c>
      <c r="N21" s="39" t="str">
        <f t="array" ref="N21">IFERROR(INDEX(Temps_Total,SMALL(IF(Id_Impression=$A21,ROW(Temps_Total)-MIN(ROW(Temps_Total))+1),COLUMNS($A$3:D21))),"")</f>
        <v/>
      </c>
      <c r="O21" s="39" t="str">
        <f t="array" ref="O21">IFERROR(INDEX(Temps_Total,SMALL(IF(Id_Impression=$A21,ROW(Temps_Total)-MIN(ROW(Temps_Total))+1),COLUMNS($A$3:E21))),"")</f>
        <v/>
      </c>
      <c r="P21" s="39" t="str">
        <f t="array" ref="P21">IFERROR(INDEX(Temps_Total,SMALL(IF(Id_Impression=$A21,ROW(Temps_Total)-MIN(ROW(Temps_Total))+1),COLUMNS($A$3:F21))),"")</f>
        <v/>
      </c>
      <c r="Q21" s="39" t="str">
        <f t="array" ref="Q21">IFERROR(INDEX(Temps_Total,SMALL(IF(Id_Impression=$A21,ROW(Temps_Total)-MIN(ROW(Temps_Total))+1),COLUMNS($A$3:G21))),"")</f>
        <v/>
      </c>
      <c r="R21" s="38">
        <f t="array" ref="R21">IFERROR(INDEX(Quantité_à_imprimer_12_2017,SMALL(IF(Id_Impression=$A21,ROW(Quantité_à_imprimer_12_2017)-MIN(ROW(Quantité_à_imprimer_12_2017))+1),COLUMNS($A$3:A21))),"")</f>
        <v>1</v>
      </c>
      <c r="S21" s="38">
        <f t="array" ref="S21">IFERROR(INDEX(Quantité_à_imprimer_12_2017,SMALL(IF(Id_Impression=$A21,ROW(Quantité_à_imprimer_12_2017)-MIN(ROW(Quantité_à_imprimer_12_2017))+1),COLUMNS($A$3:B21))),"")</f>
        <v>1</v>
      </c>
      <c r="T21" s="38">
        <f t="array" ref="T21">IFERROR(INDEX(Quantité_à_imprimer_12_2017,SMALL(IF(Id_Impression=$A21,ROW(Quantité_à_imprimer_12_2017)-MIN(ROW(Quantité_à_imprimer_12_2017))+1),COLUMNS($A$3:C21))),"")</f>
        <v>1</v>
      </c>
      <c r="U21" s="38" t="str">
        <f t="array" ref="U21">IFERROR(INDEX(Quantité_à_imprimer_12_2017,SMALL(IF(Id_Impression=$A21,ROW(Quantité_à_imprimer_12_2017)-MIN(ROW(Quantité_à_imprimer_12_2017))+1),COLUMNS($A$3:D21))),"")</f>
        <v/>
      </c>
      <c r="V21" s="38" t="str">
        <f t="array" ref="V21">IFERROR(INDEX(Quantité_à_imprimer_12_2017,SMALL(IF(Id_Impression=$A21,ROW(Quantité_à_imprimer_12_2017)-MIN(ROW(Quantité_à_imprimer_12_2017))+1),COLUMNS($A$3:E21))),"")</f>
        <v/>
      </c>
      <c r="W21" s="38" t="str">
        <f t="array" ref="W21">IFERROR(INDEX(Quantité_à_imprimer_12_2017,SMALL(IF(Id_Impression=$A21,ROW(Quantité_à_imprimer_12_2017)-MIN(ROW(Quantité_à_imprimer_12_2017))+1),COLUMNS($A$3:F21))),"")</f>
        <v/>
      </c>
      <c r="X21" s="38" t="str">
        <f t="array" ref="X21">IFERROR(INDEX(Quantité_à_imprimer_12_2017,SMALL(IF(Id_Impression=$A21,ROW(Quantité_à_imprimer_12_2017)-MIN(ROW(Quantité_à_imprimer_12_2017))+1),COLUMNS($A$3:G21))),"")</f>
        <v/>
      </c>
    </row>
    <row r="22" spans="1:24" x14ac:dyDescent="0.55000000000000004">
      <c r="A22" s="40">
        <v>20</v>
      </c>
      <c r="B22" s="36">
        <f t="shared" si="0"/>
        <v>0.17986111111111111</v>
      </c>
      <c r="C22" s="37">
        <v>2</v>
      </c>
      <c r="D22" s="38" t="str">
        <f t="array" ref="D22">IFERROR(INDEX(Fichier_initial,SMALL(IF(Id_Impression=$A22,ROW(Fichier_initial)-MIN(ROW(Fichier_initial))+1),COLUMNS($A22:A22))),"")</f>
        <v>RotWormV5</v>
      </c>
      <c r="E22" s="38" t="str">
        <f t="array" ref="E22">IFERROR(INDEX(Fichier_initial,SMALL(IF(Id_Impression=$A22,ROW(Fichier_initial)-MIN(ROW(Fichier_initial))+1),COLUMNS($A22:B22))),"")</f>
        <v>PistonanticlockV2</v>
      </c>
      <c r="F22" s="38" t="str">
        <f t="array" ref="F22">IFERROR(INDEX(Fichier_initial,SMALL(IF(Id_Impression=$A22,ROW(Fichier_initial)-MIN(ROW(Fichier_initial))+1),COLUMNS($A22:C22))),"")</f>
        <v/>
      </c>
      <c r="G22" s="38" t="str">
        <f t="array" ref="G22">IFERROR(INDEX(Fichier_initial,SMALL(IF(Id_Impression=$A22,ROW(Fichier_initial)-MIN(ROW(Fichier_initial))+1),COLUMNS($A22:D22))),"")</f>
        <v/>
      </c>
      <c r="H22" s="38" t="str">
        <f t="array" ref="H22">IFERROR(INDEX(Fichier_initial,SMALL(IF(Id_Impression=$A22,ROW(Fichier_initial)-MIN(ROW(Fichier_initial))+1),COLUMNS($A22:E22))),"")</f>
        <v/>
      </c>
      <c r="I22" s="38" t="str">
        <f t="array" ref="I22">IFERROR(INDEX(Fichier_initial,SMALL(IF(Id_Impression=$A22,ROW(Fichier_initial)-MIN(ROW(Fichier_initial))+1),COLUMNS($A22:F22))),"")</f>
        <v/>
      </c>
      <c r="J22" s="38" t="str">
        <f t="array" ref="J22">IFERROR(INDEX(Fichier_initial,SMALL(IF(Id_Impression=$A22,ROW(Fichier_initial)-MIN(ROW(Fichier_initial))+1),COLUMNS($A22:G22))),"")</f>
        <v/>
      </c>
      <c r="K22" s="39">
        <f t="array" ref="K22">IFERROR(INDEX(Temps_Total,SMALL(IF(Id_Impression=$A22,ROW(Temps_Total)-MIN(ROW(Temps_Total))+1),COLUMNS($A$3:A22))),"")</f>
        <v>5.4166666666666669E-2</v>
      </c>
      <c r="L22" s="39">
        <f t="array" ref="L22">IFERROR(INDEX(Temps_Total,SMALL(IF(Id_Impression=$A22,ROW(Temps_Total)-MIN(ROW(Temps_Total))+1),COLUMNS($A$3:B22))),"")</f>
        <v>0.12569444444444444</v>
      </c>
      <c r="M22" s="39" t="str">
        <f t="array" ref="M22">IFERROR(INDEX(Temps_Total,SMALL(IF(Id_Impression=$A22,ROW(Temps_Total)-MIN(ROW(Temps_Total))+1),COLUMNS($A$3:C22))),"")</f>
        <v/>
      </c>
      <c r="N22" s="39" t="str">
        <f t="array" ref="N22">IFERROR(INDEX(Temps_Total,SMALL(IF(Id_Impression=$A22,ROW(Temps_Total)-MIN(ROW(Temps_Total))+1),COLUMNS($A$3:D22))),"")</f>
        <v/>
      </c>
      <c r="O22" s="39" t="str">
        <f t="array" ref="O22">IFERROR(INDEX(Temps_Total,SMALL(IF(Id_Impression=$A22,ROW(Temps_Total)-MIN(ROW(Temps_Total))+1),COLUMNS($A$3:E22))),"")</f>
        <v/>
      </c>
      <c r="P22" s="39" t="str">
        <f t="array" ref="P22">IFERROR(INDEX(Temps_Total,SMALL(IF(Id_Impression=$A22,ROW(Temps_Total)-MIN(ROW(Temps_Total))+1),COLUMNS($A$3:F22))),"")</f>
        <v/>
      </c>
      <c r="Q22" s="39" t="str">
        <f t="array" ref="Q22">IFERROR(INDEX(Temps_Total,SMALL(IF(Id_Impression=$A22,ROW(Temps_Total)-MIN(ROW(Temps_Total))+1),COLUMNS($A$3:G22))),"")</f>
        <v/>
      </c>
      <c r="R22" s="38">
        <f t="array" ref="R22">IFERROR(INDEX(Quantité_à_imprimer_12_2017,SMALL(IF(Id_Impression=$A22,ROW(Quantité_à_imprimer_12_2017)-MIN(ROW(Quantité_à_imprimer_12_2017))+1),COLUMNS($A$3:A22))),"")</f>
        <v>1</v>
      </c>
      <c r="S22" s="38">
        <f t="array" ref="S22">IFERROR(INDEX(Quantité_à_imprimer_12_2017,SMALL(IF(Id_Impression=$A22,ROW(Quantité_à_imprimer_12_2017)-MIN(ROW(Quantité_à_imprimer_12_2017))+1),COLUMNS($A$3:B22))),"")</f>
        <v>1</v>
      </c>
      <c r="T22" s="38" t="str">
        <f t="array" ref="T22">IFERROR(INDEX(Quantité_à_imprimer_12_2017,SMALL(IF(Id_Impression=$A22,ROW(Quantité_à_imprimer_12_2017)-MIN(ROW(Quantité_à_imprimer_12_2017))+1),COLUMNS($A$3:C22))),"")</f>
        <v/>
      </c>
      <c r="U22" s="38" t="str">
        <f t="array" ref="U22">IFERROR(INDEX(Quantité_à_imprimer_12_2017,SMALL(IF(Id_Impression=$A22,ROW(Quantité_à_imprimer_12_2017)-MIN(ROW(Quantité_à_imprimer_12_2017))+1),COLUMNS($A$3:D22))),"")</f>
        <v/>
      </c>
      <c r="V22" s="38" t="str">
        <f t="array" ref="V22">IFERROR(INDEX(Quantité_à_imprimer_12_2017,SMALL(IF(Id_Impression=$A22,ROW(Quantité_à_imprimer_12_2017)-MIN(ROW(Quantité_à_imprimer_12_2017))+1),COLUMNS($A$3:E22))),"")</f>
        <v/>
      </c>
      <c r="W22" s="38" t="str">
        <f t="array" ref="W22">IFERROR(INDEX(Quantité_à_imprimer_12_2017,SMALL(IF(Id_Impression=$A22,ROW(Quantité_à_imprimer_12_2017)-MIN(ROW(Quantité_à_imprimer_12_2017))+1),COLUMNS($A$3:F22))),"")</f>
        <v/>
      </c>
      <c r="X22" s="38" t="str">
        <f t="array" ref="X22">IFERROR(INDEX(Quantité_à_imprimer_12_2017,SMALL(IF(Id_Impression=$A22,ROW(Quantité_à_imprimer_12_2017)-MIN(ROW(Quantité_à_imprimer_12_2017))+1),COLUMNS($A$3:G22))),"")</f>
        <v/>
      </c>
    </row>
    <row r="23" spans="1:24" x14ac:dyDescent="0.55000000000000004">
      <c r="A23" s="40">
        <v>21</v>
      </c>
      <c r="B23" s="36">
        <f t="shared" si="0"/>
        <v>0.17083333333333334</v>
      </c>
      <c r="C23" s="37">
        <v>2</v>
      </c>
      <c r="D23" s="38" t="str">
        <f t="array" ref="D23">IFERROR(INDEX(Fichier_initial,SMALL(IF(Id_Impression=$A23,ROW(Fichier_initial)-MIN(ROW(Fichier_initial))+1),COLUMNS($A23:A23))),"")</f>
        <v>elbowshaftgearV1</v>
      </c>
      <c r="E23" s="38" t="str">
        <f t="array" ref="E23">IFERROR(INDEX(Fichier_initial,SMALL(IF(Id_Impression=$A23,ROW(Fichier_initial)-MIN(ROW(Fichier_initial))+1),COLUMNS($A23:B23))),"")</f>
        <v>servoholderV1</v>
      </c>
      <c r="F23" s="38" t="str">
        <f t="array" ref="F23">IFERROR(INDEX(Fichier_initial,SMALL(IF(Id_Impression=$A23,ROW(Fichier_initial)-MIN(ROW(Fichier_initial))+1),COLUMNS($A23:C23))),"")</f>
        <v/>
      </c>
      <c r="G23" s="38" t="str">
        <f t="array" ref="G23">IFERROR(INDEX(Fichier_initial,SMALL(IF(Id_Impression=$A23,ROW(Fichier_initial)-MIN(ROW(Fichier_initial))+1),COLUMNS($A23:D23))),"")</f>
        <v/>
      </c>
      <c r="H23" s="38" t="str">
        <f t="array" ref="H23">IFERROR(INDEX(Fichier_initial,SMALL(IF(Id_Impression=$A23,ROW(Fichier_initial)-MIN(ROW(Fichier_initial))+1),COLUMNS($A23:E23))),"")</f>
        <v/>
      </c>
      <c r="I23" s="38" t="str">
        <f t="array" ref="I23">IFERROR(INDEX(Fichier_initial,SMALL(IF(Id_Impression=$A23,ROW(Fichier_initial)-MIN(ROW(Fichier_initial))+1),COLUMNS($A23:F23))),"")</f>
        <v/>
      </c>
      <c r="J23" s="38" t="str">
        <f t="array" ref="J23">IFERROR(INDEX(Fichier_initial,SMALL(IF(Id_Impression=$A23,ROW(Fichier_initial)-MIN(ROW(Fichier_initial))+1),COLUMNS($A23:G23))),"")</f>
        <v/>
      </c>
      <c r="K23" s="39">
        <f t="array" ref="K23">IFERROR(INDEX(Temps_Total,SMALL(IF(Id_Impression=$A23,ROW(Temps_Total)-MIN(ROW(Temps_Total))+1),COLUMNS($A$3:A23))),"")</f>
        <v>5.8333333333333327E-2</v>
      </c>
      <c r="L23" s="39">
        <f t="array" ref="L23">IFERROR(INDEX(Temps_Total,SMALL(IF(Id_Impression=$A23,ROW(Temps_Total)-MIN(ROW(Temps_Total))+1),COLUMNS($A$3:B23))),"")</f>
        <v>0.1125</v>
      </c>
      <c r="M23" s="39" t="str">
        <f t="array" ref="M23">IFERROR(INDEX(Temps_Total,SMALL(IF(Id_Impression=$A23,ROW(Temps_Total)-MIN(ROW(Temps_Total))+1),COLUMNS($A$3:C23))),"")</f>
        <v/>
      </c>
      <c r="N23" s="39" t="str">
        <f t="array" ref="N23">IFERROR(INDEX(Temps_Total,SMALL(IF(Id_Impression=$A23,ROW(Temps_Total)-MIN(ROW(Temps_Total))+1),COLUMNS($A$3:D23))),"")</f>
        <v/>
      </c>
      <c r="O23" s="39" t="str">
        <f t="array" ref="O23">IFERROR(INDEX(Temps_Total,SMALL(IF(Id_Impression=$A23,ROW(Temps_Total)-MIN(ROW(Temps_Total))+1),COLUMNS($A$3:E23))),"")</f>
        <v/>
      </c>
      <c r="P23" s="39" t="str">
        <f t="array" ref="P23">IFERROR(INDEX(Temps_Total,SMALL(IF(Id_Impression=$A23,ROW(Temps_Total)-MIN(ROW(Temps_Total))+1),COLUMNS($A$3:F23))),"")</f>
        <v/>
      </c>
      <c r="Q23" s="39" t="str">
        <f t="array" ref="Q23">IFERROR(INDEX(Temps_Total,SMALL(IF(Id_Impression=$A23,ROW(Temps_Total)-MIN(ROW(Temps_Total))+1),COLUMNS($A$3:G23))),"")</f>
        <v/>
      </c>
      <c r="R23" s="38">
        <f t="array" ref="R23">IFERROR(INDEX(Quantité_à_imprimer_12_2017,SMALL(IF(Id_Impression=$A23,ROW(Quantité_à_imprimer_12_2017)-MIN(ROW(Quantité_à_imprimer_12_2017))+1),COLUMNS($A$3:A23))),"")</f>
        <v>1</v>
      </c>
      <c r="S23" s="38">
        <f t="array" ref="S23">IFERROR(INDEX(Quantité_à_imprimer_12_2017,SMALL(IF(Id_Impression=$A23,ROW(Quantité_à_imprimer_12_2017)-MIN(ROW(Quantité_à_imprimer_12_2017))+1),COLUMNS($A$3:B23))),"")</f>
        <v>1</v>
      </c>
      <c r="T23" s="38" t="str">
        <f t="array" ref="T23">IFERROR(INDEX(Quantité_à_imprimer_12_2017,SMALL(IF(Id_Impression=$A23,ROW(Quantité_à_imprimer_12_2017)-MIN(ROW(Quantité_à_imprimer_12_2017))+1),COLUMNS($A$3:C23))),"")</f>
        <v/>
      </c>
      <c r="U23" s="38" t="str">
        <f t="array" ref="U23">IFERROR(INDEX(Quantité_à_imprimer_12_2017,SMALL(IF(Id_Impression=$A23,ROW(Quantité_à_imprimer_12_2017)-MIN(ROW(Quantité_à_imprimer_12_2017))+1),COLUMNS($A$3:D23))),"")</f>
        <v/>
      </c>
      <c r="V23" s="38" t="str">
        <f t="array" ref="V23">IFERROR(INDEX(Quantité_à_imprimer_12_2017,SMALL(IF(Id_Impression=$A23,ROW(Quantité_à_imprimer_12_2017)-MIN(ROW(Quantité_à_imprimer_12_2017))+1),COLUMNS($A$3:E23))),"")</f>
        <v/>
      </c>
      <c r="W23" s="38" t="str">
        <f t="array" ref="W23">IFERROR(INDEX(Quantité_à_imprimer_12_2017,SMALL(IF(Id_Impression=$A23,ROW(Quantité_à_imprimer_12_2017)-MIN(ROW(Quantité_à_imprimer_12_2017))+1),COLUMNS($A$3:F23))),"")</f>
        <v/>
      </c>
      <c r="X23" s="38" t="str">
        <f t="array" ref="X23">IFERROR(INDEX(Quantité_à_imprimer_12_2017,SMALL(IF(Id_Impression=$A23,ROW(Quantité_à_imprimer_12_2017)-MIN(ROW(Quantité_à_imprimer_12_2017))+1),COLUMNS($A$3:G23))),"")</f>
        <v/>
      </c>
    </row>
    <row r="24" spans="1:24" x14ac:dyDescent="0.55000000000000004">
      <c r="A24" s="40">
        <v>22</v>
      </c>
      <c r="B24" s="36">
        <f t="shared" si="0"/>
        <v>0.15902777777777777</v>
      </c>
      <c r="C24" s="37">
        <v>2</v>
      </c>
      <c r="D24" s="38" t="str">
        <f t="array" ref="D24">IFERROR(INDEX(Fichier_initial,SMALL(IF(Id_Impression=$A24,ROW(Fichier_initial)-MIN(ROW(Fichier_initial))+1),COLUMNS($A24:A24))),"")</f>
        <v>servobaseV1</v>
      </c>
      <c r="E24" s="38" t="str">
        <f t="array" ref="E24">IFERROR(INDEX(Fichier_initial,SMALL(IF(Id_Impression=$A24,ROW(Fichier_initial)-MIN(ROW(Fichier_initial))+1),COLUMNS($A24:B24))),"")</f>
        <v>leftRotTitV2</v>
      </c>
      <c r="F24" s="38" t="str">
        <f t="array" ref="F24">IFERROR(INDEX(Fichier_initial,SMALL(IF(Id_Impression=$A24,ROW(Fichier_initial)-MIN(ROW(Fichier_initial))+1),COLUMNS($A24:C24))),"")</f>
        <v/>
      </c>
      <c r="G24" s="38" t="str">
        <f t="array" ref="G24">IFERROR(INDEX(Fichier_initial,SMALL(IF(Id_Impression=$A24,ROW(Fichier_initial)-MIN(ROW(Fichier_initial))+1),COLUMNS($A24:D24))),"")</f>
        <v/>
      </c>
      <c r="H24" s="38" t="str">
        <f t="array" ref="H24">IFERROR(INDEX(Fichier_initial,SMALL(IF(Id_Impression=$A24,ROW(Fichier_initial)-MIN(ROW(Fichier_initial))+1),COLUMNS($A24:E24))),"")</f>
        <v/>
      </c>
      <c r="I24" s="38" t="str">
        <f t="array" ref="I24">IFERROR(INDEX(Fichier_initial,SMALL(IF(Id_Impression=$A24,ROW(Fichier_initial)-MIN(ROW(Fichier_initial))+1),COLUMNS($A24:F24))),"")</f>
        <v/>
      </c>
      <c r="J24" s="38" t="str">
        <f t="array" ref="J24">IFERROR(INDEX(Fichier_initial,SMALL(IF(Id_Impression=$A24,ROW(Fichier_initial)-MIN(ROW(Fichier_initial))+1),COLUMNS($A24:G24))),"")</f>
        <v/>
      </c>
      <c r="K24" s="39">
        <f t="array" ref="K24">IFERROR(INDEX(Temps_Total,SMALL(IF(Id_Impression=$A24,ROW(Temps_Total)-MIN(ROW(Temps_Total))+1),COLUMNS($A$3:A24))),"")</f>
        <v>6.6666666666666666E-2</v>
      </c>
      <c r="L24" s="39">
        <f t="array" ref="L24">IFERROR(INDEX(Temps_Total,SMALL(IF(Id_Impression=$A24,ROW(Temps_Total)-MIN(ROW(Temps_Total))+1),COLUMNS($A$3:B24))),"")</f>
        <v>9.2361111111111116E-2</v>
      </c>
      <c r="M24" s="39" t="str">
        <f t="array" ref="M24">IFERROR(INDEX(Temps_Total,SMALL(IF(Id_Impression=$A24,ROW(Temps_Total)-MIN(ROW(Temps_Total))+1),COLUMNS($A$3:C24))),"")</f>
        <v/>
      </c>
      <c r="N24" s="39" t="str">
        <f t="array" ref="N24">IFERROR(INDEX(Temps_Total,SMALL(IF(Id_Impression=$A24,ROW(Temps_Total)-MIN(ROW(Temps_Total))+1),COLUMNS($A$3:D24))),"")</f>
        <v/>
      </c>
      <c r="O24" s="39" t="str">
        <f t="array" ref="O24">IFERROR(INDEX(Temps_Total,SMALL(IF(Id_Impression=$A24,ROW(Temps_Total)-MIN(ROW(Temps_Total))+1),COLUMNS($A$3:E24))),"")</f>
        <v/>
      </c>
      <c r="P24" s="39" t="str">
        <f t="array" ref="P24">IFERROR(INDEX(Temps_Total,SMALL(IF(Id_Impression=$A24,ROW(Temps_Total)-MIN(ROW(Temps_Total))+1),COLUMNS($A$3:F24))),"")</f>
        <v/>
      </c>
      <c r="Q24" s="39" t="str">
        <f t="array" ref="Q24">IFERROR(INDEX(Temps_Total,SMALL(IF(Id_Impression=$A24,ROW(Temps_Total)-MIN(ROW(Temps_Total))+1),COLUMNS($A$3:G24))),"")</f>
        <v/>
      </c>
      <c r="R24" s="38">
        <f t="array" ref="R24">IFERROR(INDEX(Quantité_à_imprimer_12_2017,SMALL(IF(Id_Impression=$A24,ROW(Quantité_à_imprimer_12_2017)-MIN(ROW(Quantité_à_imprimer_12_2017))+1),COLUMNS($A$3:A24))),"")</f>
        <v>1</v>
      </c>
      <c r="S24" s="38">
        <f t="array" ref="S24">IFERROR(INDEX(Quantité_à_imprimer_12_2017,SMALL(IF(Id_Impression=$A24,ROW(Quantité_à_imprimer_12_2017)-MIN(ROW(Quantité_à_imprimer_12_2017))+1),COLUMNS($A$3:B24))),"")</f>
        <v>1</v>
      </c>
      <c r="T24" s="38" t="str">
        <f t="array" ref="T24">IFERROR(INDEX(Quantité_à_imprimer_12_2017,SMALL(IF(Id_Impression=$A24,ROW(Quantité_à_imprimer_12_2017)-MIN(ROW(Quantité_à_imprimer_12_2017))+1),COLUMNS($A$3:C24))),"")</f>
        <v/>
      </c>
      <c r="U24" s="38" t="str">
        <f t="array" ref="U24">IFERROR(INDEX(Quantité_à_imprimer_12_2017,SMALL(IF(Id_Impression=$A24,ROW(Quantité_à_imprimer_12_2017)-MIN(ROW(Quantité_à_imprimer_12_2017))+1),COLUMNS($A$3:D24))),"")</f>
        <v/>
      </c>
      <c r="V24" s="38" t="str">
        <f t="array" ref="V24">IFERROR(INDEX(Quantité_à_imprimer_12_2017,SMALL(IF(Id_Impression=$A24,ROW(Quantité_à_imprimer_12_2017)-MIN(ROW(Quantité_à_imprimer_12_2017))+1),COLUMNS($A$3:E24))),"")</f>
        <v/>
      </c>
      <c r="W24" s="38" t="str">
        <f t="array" ref="W24">IFERROR(INDEX(Quantité_à_imprimer_12_2017,SMALL(IF(Id_Impression=$A24,ROW(Quantité_à_imprimer_12_2017)-MIN(ROW(Quantité_à_imprimer_12_2017))+1),COLUMNS($A$3:F24))),"")</f>
        <v/>
      </c>
      <c r="X24" s="38" t="str">
        <f t="array" ref="X24">IFERROR(INDEX(Quantité_à_imprimer_12_2017,SMALL(IF(Id_Impression=$A24,ROW(Quantité_à_imprimer_12_2017)-MIN(ROW(Quantité_à_imprimer_12_2017))+1),COLUMNS($A$3:G24))),"")</f>
        <v/>
      </c>
    </row>
    <row r="25" spans="1:24" x14ac:dyDescent="0.55000000000000004">
      <c r="A25" s="40">
        <v>23</v>
      </c>
      <c r="B25" s="36">
        <f t="shared" si="0"/>
        <v>0.16805555555555557</v>
      </c>
      <c r="C25" s="37">
        <v>2</v>
      </c>
      <c r="D25" s="38" t="str">
        <f t="array" ref="D25">IFERROR(INDEX(Fichier_initial,SMALL(IF(Id_Impression=$A25,ROW(Fichier_initial)-MIN(ROW(Fichier_initial))+1),COLUMNS($A25:A25))),"")</f>
        <v>PistonbaseantiV2</v>
      </c>
      <c r="E25" s="38" t="str">
        <f t="array" ref="E25">IFERROR(INDEX(Fichier_initial,SMALL(IF(Id_Impression=$A25,ROW(Fichier_initial)-MIN(ROW(Fichier_initial))+1),COLUMNS($A25:B25))),"")</f>
        <v>reinforcerV1</v>
      </c>
      <c r="F25" s="38" t="str">
        <f t="array" ref="F25">IFERROR(INDEX(Fichier_initial,SMALL(IF(Id_Impression=$A25,ROW(Fichier_initial)-MIN(ROW(Fichier_initial))+1),COLUMNS($A25:C25))),"")</f>
        <v/>
      </c>
      <c r="G25" s="38" t="str">
        <f t="array" ref="G25">IFERROR(INDEX(Fichier_initial,SMALL(IF(Id_Impression=$A25,ROW(Fichier_initial)-MIN(ROW(Fichier_initial))+1),COLUMNS($A25:D25))),"")</f>
        <v/>
      </c>
      <c r="H25" s="38" t="str">
        <f t="array" ref="H25">IFERROR(INDEX(Fichier_initial,SMALL(IF(Id_Impression=$A25,ROW(Fichier_initial)-MIN(ROW(Fichier_initial))+1),COLUMNS($A25:E25))),"")</f>
        <v/>
      </c>
      <c r="I25" s="38" t="str">
        <f t="array" ref="I25">IFERROR(INDEX(Fichier_initial,SMALL(IF(Id_Impression=$A25,ROW(Fichier_initial)-MIN(ROW(Fichier_initial))+1),COLUMNS($A25:F25))),"")</f>
        <v/>
      </c>
      <c r="J25" s="38" t="str">
        <f t="array" ref="J25">IFERROR(INDEX(Fichier_initial,SMALL(IF(Id_Impression=$A25,ROW(Fichier_initial)-MIN(ROW(Fichier_initial))+1),COLUMNS($A25:G25))),"")</f>
        <v/>
      </c>
      <c r="K25" s="39">
        <f t="array" ref="K25">IFERROR(INDEX(Temps_Total,SMALL(IF(Id_Impression=$A25,ROW(Temps_Total)-MIN(ROW(Temps_Total))+1),COLUMNS($A$3:A25))),"")</f>
        <v>7.6388888888888895E-2</v>
      </c>
      <c r="L25" s="39">
        <f t="array" ref="L25">IFERROR(INDEX(Temps_Total,SMALL(IF(Id_Impression=$A25,ROW(Temps_Total)-MIN(ROW(Temps_Total))+1),COLUMNS($A$3:B25))),"")</f>
        <v>9.1666666666666674E-2</v>
      </c>
      <c r="M25" s="39" t="str">
        <f t="array" ref="M25">IFERROR(INDEX(Temps_Total,SMALL(IF(Id_Impression=$A25,ROW(Temps_Total)-MIN(ROW(Temps_Total))+1),COLUMNS($A$3:C25))),"")</f>
        <v/>
      </c>
      <c r="N25" s="39" t="str">
        <f t="array" ref="N25">IFERROR(INDEX(Temps_Total,SMALL(IF(Id_Impression=$A25,ROW(Temps_Total)-MIN(ROW(Temps_Total))+1),COLUMNS($A$3:D25))),"")</f>
        <v/>
      </c>
      <c r="O25" s="39" t="str">
        <f t="array" ref="O25">IFERROR(INDEX(Temps_Total,SMALL(IF(Id_Impression=$A25,ROW(Temps_Total)-MIN(ROW(Temps_Total))+1),COLUMNS($A$3:E25))),"")</f>
        <v/>
      </c>
      <c r="P25" s="39" t="str">
        <f t="array" ref="P25">IFERROR(INDEX(Temps_Total,SMALL(IF(Id_Impression=$A25,ROW(Temps_Total)-MIN(ROW(Temps_Total))+1),COLUMNS($A$3:F25))),"")</f>
        <v/>
      </c>
      <c r="Q25" s="39" t="str">
        <f t="array" ref="Q25">IFERROR(INDEX(Temps_Total,SMALL(IF(Id_Impression=$A25,ROW(Temps_Total)-MIN(ROW(Temps_Total))+1),COLUMNS($A$3:G25))),"")</f>
        <v/>
      </c>
      <c r="R25" s="38">
        <f t="array" ref="R25">IFERROR(INDEX(Quantité_à_imprimer_12_2017,SMALL(IF(Id_Impression=$A25,ROW(Quantité_à_imprimer_12_2017)-MIN(ROW(Quantité_à_imprimer_12_2017))+1),COLUMNS($A$3:A25))),"")</f>
        <v>1</v>
      </c>
      <c r="S25" s="38">
        <f t="array" ref="S25">IFERROR(INDEX(Quantité_à_imprimer_12_2017,SMALL(IF(Id_Impression=$A25,ROW(Quantité_à_imprimer_12_2017)-MIN(ROW(Quantité_à_imprimer_12_2017))+1),COLUMNS($A$3:B25))),"")</f>
        <v>2</v>
      </c>
      <c r="T25" s="38" t="str">
        <f t="array" ref="T25">IFERROR(INDEX(Quantité_à_imprimer_12_2017,SMALL(IF(Id_Impression=$A25,ROW(Quantité_à_imprimer_12_2017)-MIN(ROW(Quantité_à_imprimer_12_2017))+1),COLUMNS($A$3:C25))),"")</f>
        <v/>
      </c>
      <c r="U25" s="38" t="str">
        <f t="array" ref="U25">IFERROR(INDEX(Quantité_à_imprimer_12_2017,SMALL(IF(Id_Impression=$A25,ROW(Quantité_à_imprimer_12_2017)-MIN(ROW(Quantité_à_imprimer_12_2017))+1),COLUMNS($A$3:D25))),"")</f>
        <v/>
      </c>
      <c r="V25" s="38" t="str">
        <f t="array" ref="V25">IFERROR(INDEX(Quantité_à_imprimer_12_2017,SMALL(IF(Id_Impression=$A25,ROW(Quantité_à_imprimer_12_2017)-MIN(ROW(Quantité_à_imprimer_12_2017))+1),COLUMNS($A$3:E25))),"")</f>
        <v/>
      </c>
      <c r="W25" s="38" t="str">
        <f t="array" ref="W25">IFERROR(INDEX(Quantité_à_imprimer_12_2017,SMALL(IF(Id_Impression=$A25,ROW(Quantité_à_imprimer_12_2017)-MIN(ROW(Quantité_à_imprimer_12_2017))+1),COLUMNS($A$3:F25))),"")</f>
        <v/>
      </c>
      <c r="X25" s="38" t="str">
        <f t="array" ref="X25">IFERROR(INDEX(Quantité_à_imprimer_12_2017,SMALL(IF(Id_Impression=$A25,ROW(Quantité_à_imprimer_12_2017)-MIN(ROW(Quantité_à_imprimer_12_2017))+1),COLUMNS($A$3:G25))),"")</f>
        <v/>
      </c>
    </row>
    <row r="26" spans="1:24" x14ac:dyDescent="0.55000000000000004">
      <c r="A26" s="40">
        <v>24</v>
      </c>
      <c r="B26" s="36">
        <f t="shared" si="0"/>
        <v>0.17083333333333331</v>
      </c>
      <c r="C26" s="37">
        <v>1</v>
      </c>
      <c r="D26" s="38" t="str">
        <f t="array" ref="D26">IFERROR(INDEX(Fichier_initial,SMALL(IF(Id_Impression=$A26,ROW(Fichier_initial)-MIN(ROW(Fichier_initial))+1),COLUMNS($A26:A26))),"")</f>
        <v>lowarmsideV1</v>
      </c>
      <c r="E26" s="38" t="str">
        <f t="array" ref="E26">IFERROR(INDEX(Fichier_initial,SMALL(IF(Id_Impression=$A26,ROW(Fichier_initial)-MIN(ROW(Fichier_initial))+1),COLUMNS($A26:B26))),"")</f>
        <v/>
      </c>
      <c r="F26" s="38" t="str">
        <f t="array" ref="F26">IFERROR(INDEX(Fichier_initial,SMALL(IF(Id_Impression=$A26,ROW(Fichier_initial)-MIN(ROW(Fichier_initial))+1),COLUMNS($A26:C26))),"")</f>
        <v/>
      </c>
      <c r="G26" s="38" t="str">
        <f t="array" ref="G26">IFERROR(INDEX(Fichier_initial,SMALL(IF(Id_Impression=$A26,ROW(Fichier_initial)-MIN(ROW(Fichier_initial))+1),COLUMNS($A26:D26))),"")</f>
        <v/>
      </c>
      <c r="H26" s="38" t="str">
        <f t="array" ref="H26">IFERROR(INDEX(Fichier_initial,SMALL(IF(Id_Impression=$A26,ROW(Fichier_initial)-MIN(ROW(Fichier_initial))+1),COLUMNS($A26:E26))),"")</f>
        <v/>
      </c>
      <c r="I26" s="38" t="str">
        <f t="array" ref="I26">IFERROR(INDEX(Fichier_initial,SMALL(IF(Id_Impression=$A26,ROW(Fichier_initial)-MIN(ROW(Fichier_initial))+1),COLUMNS($A26:F26))),"")</f>
        <v/>
      </c>
      <c r="J26" s="38" t="str">
        <f t="array" ref="J26">IFERROR(INDEX(Fichier_initial,SMALL(IF(Id_Impression=$A26,ROW(Fichier_initial)-MIN(ROW(Fichier_initial))+1),COLUMNS($A26:G26))),"")</f>
        <v/>
      </c>
      <c r="K26" s="39">
        <f t="array" ref="K26">IFERROR(INDEX(Temps_Total,SMALL(IF(Id_Impression=$A26,ROW(Temps_Total)-MIN(ROW(Temps_Total))+1),COLUMNS($A$3:A26))),"")</f>
        <v>0.17083333333333331</v>
      </c>
      <c r="L26" s="39" t="str">
        <f t="array" ref="L26">IFERROR(INDEX(Temps_Total,SMALL(IF(Id_Impression=$A26,ROW(Temps_Total)-MIN(ROW(Temps_Total))+1),COLUMNS($A$3:B26))),"")</f>
        <v/>
      </c>
      <c r="M26" s="39" t="str">
        <f t="array" ref="M26">IFERROR(INDEX(Temps_Total,SMALL(IF(Id_Impression=$A26,ROW(Temps_Total)-MIN(ROW(Temps_Total))+1),COLUMNS($A$3:C26))),"")</f>
        <v/>
      </c>
      <c r="N26" s="39" t="str">
        <f t="array" ref="N26">IFERROR(INDEX(Temps_Total,SMALL(IF(Id_Impression=$A26,ROW(Temps_Total)-MIN(ROW(Temps_Total))+1),COLUMNS($A$3:D26))),"")</f>
        <v/>
      </c>
      <c r="O26" s="39" t="str">
        <f t="array" ref="O26">IFERROR(INDEX(Temps_Total,SMALL(IF(Id_Impression=$A26,ROW(Temps_Total)-MIN(ROW(Temps_Total))+1),COLUMNS($A$3:E26))),"")</f>
        <v/>
      </c>
      <c r="P26" s="39" t="str">
        <f t="array" ref="P26">IFERROR(INDEX(Temps_Total,SMALL(IF(Id_Impression=$A26,ROW(Temps_Total)-MIN(ROW(Temps_Total))+1),COLUMNS($A$3:F26))),"")</f>
        <v/>
      </c>
      <c r="Q26" s="39" t="str">
        <f t="array" ref="Q26">IFERROR(INDEX(Temps_Total,SMALL(IF(Id_Impression=$A26,ROW(Temps_Total)-MIN(ROW(Temps_Total))+1),COLUMNS($A$3:G26))),"")</f>
        <v/>
      </c>
      <c r="R26" s="38">
        <f t="array" ref="R26">IFERROR(INDEX(Quantité_à_imprimer_12_2017,SMALL(IF(Id_Impression=$A26,ROW(Quantité_à_imprimer_12_2017)-MIN(ROW(Quantité_à_imprimer_12_2017))+1),COLUMNS($A$3:A26))),"")</f>
        <v>2</v>
      </c>
      <c r="S26" s="38" t="str">
        <f t="array" ref="S26">IFERROR(INDEX(Quantité_à_imprimer_12_2017,SMALL(IF(Id_Impression=$A26,ROW(Quantité_à_imprimer_12_2017)-MIN(ROW(Quantité_à_imprimer_12_2017))+1),COLUMNS($A$3:B26))),"")</f>
        <v/>
      </c>
      <c r="T26" s="38" t="str">
        <f t="array" ref="T26">IFERROR(INDEX(Quantité_à_imprimer_12_2017,SMALL(IF(Id_Impression=$A26,ROW(Quantité_à_imprimer_12_2017)-MIN(ROW(Quantité_à_imprimer_12_2017))+1),COLUMNS($A$3:C26))),"")</f>
        <v/>
      </c>
      <c r="U26" s="38" t="str">
        <f t="array" ref="U26">IFERROR(INDEX(Quantité_à_imprimer_12_2017,SMALL(IF(Id_Impression=$A26,ROW(Quantité_à_imprimer_12_2017)-MIN(ROW(Quantité_à_imprimer_12_2017))+1),COLUMNS($A$3:D26))),"")</f>
        <v/>
      </c>
      <c r="V26" s="38" t="str">
        <f t="array" ref="V26">IFERROR(INDEX(Quantité_à_imprimer_12_2017,SMALL(IF(Id_Impression=$A26,ROW(Quantité_à_imprimer_12_2017)-MIN(ROW(Quantité_à_imprimer_12_2017))+1),COLUMNS($A$3:E26))),"")</f>
        <v/>
      </c>
      <c r="W26" s="38" t="str">
        <f t="array" ref="W26">IFERROR(INDEX(Quantité_à_imprimer_12_2017,SMALL(IF(Id_Impression=$A26,ROW(Quantité_à_imprimer_12_2017)-MIN(ROW(Quantité_à_imprimer_12_2017))+1),COLUMNS($A$3:F26))),"")</f>
        <v/>
      </c>
      <c r="X26" s="38" t="str">
        <f t="array" ref="X26">IFERROR(INDEX(Quantité_à_imprimer_12_2017,SMALL(IF(Id_Impression=$A26,ROW(Quantité_à_imprimer_12_2017)-MIN(ROW(Quantité_à_imprimer_12_2017))+1),COLUMNS($A$3:G26))),"")</f>
        <v/>
      </c>
    </row>
    <row r="27" spans="1:24" x14ac:dyDescent="0.55000000000000004">
      <c r="A27" s="40">
        <v>25</v>
      </c>
      <c r="B27" s="36">
        <f t="shared" si="0"/>
        <v>0.1763888888888889</v>
      </c>
      <c r="C27" s="37">
        <v>1</v>
      </c>
      <c r="D27" s="38" t="str">
        <f t="array" ref="D27">IFERROR(INDEX(Fichier_initial,SMALL(IF(Id_Impression=$A27,ROW(Fichier_initial)-MIN(ROW(Fichier_initial))+1),COLUMNS($A27:A27))),"")</f>
        <v>armtopcover2</v>
      </c>
      <c r="E27" s="38" t="str">
        <f t="array" ref="E27">IFERROR(INDEX(Fichier_initial,SMALL(IF(Id_Impression=$A27,ROW(Fichier_initial)-MIN(ROW(Fichier_initial))+1),COLUMNS($A27:B27))),"")</f>
        <v/>
      </c>
      <c r="F27" s="38" t="str">
        <f t="array" ref="F27">IFERROR(INDEX(Fichier_initial,SMALL(IF(Id_Impression=$A27,ROW(Fichier_initial)-MIN(ROW(Fichier_initial))+1),COLUMNS($A27:C27))),"")</f>
        <v/>
      </c>
      <c r="G27" s="38" t="str">
        <f t="array" ref="G27">IFERROR(INDEX(Fichier_initial,SMALL(IF(Id_Impression=$A27,ROW(Fichier_initial)-MIN(ROW(Fichier_initial))+1),COLUMNS($A27:D27))),"")</f>
        <v/>
      </c>
      <c r="H27" s="38" t="str">
        <f t="array" ref="H27">IFERROR(INDEX(Fichier_initial,SMALL(IF(Id_Impression=$A27,ROW(Fichier_initial)-MIN(ROW(Fichier_initial))+1),COLUMNS($A27:E27))),"")</f>
        <v/>
      </c>
      <c r="I27" s="38" t="str">
        <f t="array" ref="I27">IFERROR(INDEX(Fichier_initial,SMALL(IF(Id_Impression=$A27,ROW(Fichier_initial)-MIN(ROW(Fichier_initial))+1),COLUMNS($A27:F27))),"")</f>
        <v/>
      </c>
      <c r="J27" s="38" t="str">
        <f t="array" ref="J27">IFERROR(INDEX(Fichier_initial,SMALL(IF(Id_Impression=$A27,ROW(Fichier_initial)-MIN(ROW(Fichier_initial))+1),COLUMNS($A27:G27))),"")</f>
        <v/>
      </c>
      <c r="K27" s="39">
        <f t="array" ref="K27">IFERROR(INDEX(Temps_Total,SMALL(IF(Id_Impression=$A27,ROW(Temps_Total)-MIN(ROW(Temps_Total))+1),COLUMNS($A$3:A27))),"")</f>
        <v>0.1763888888888889</v>
      </c>
      <c r="L27" s="39" t="str">
        <f t="array" ref="L27">IFERROR(INDEX(Temps_Total,SMALL(IF(Id_Impression=$A27,ROW(Temps_Total)-MIN(ROW(Temps_Total))+1),COLUMNS($A$3:B27))),"")</f>
        <v/>
      </c>
      <c r="M27" s="39" t="str">
        <f t="array" ref="M27">IFERROR(INDEX(Temps_Total,SMALL(IF(Id_Impression=$A27,ROW(Temps_Total)-MIN(ROW(Temps_Total))+1),COLUMNS($A$3:C27))),"")</f>
        <v/>
      </c>
      <c r="N27" s="39" t="str">
        <f t="array" ref="N27">IFERROR(INDEX(Temps_Total,SMALL(IF(Id_Impression=$A27,ROW(Temps_Total)-MIN(ROW(Temps_Total))+1),COLUMNS($A$3:D27))),"")</f>
        <v/>
      </c>
      <c r="O27" s="39" t="str">
        <f t="array" ref="O27">IFERROR(INDEX(Temps_Total,SMALL(IF(Id_Impression=$A27,ROW(Temps_Total)-MIN(ROW(Temps_Total))+1),COLUMNS($A$3:E27))),"")</f>
        <v/>
      </c>
      <c r="P27" s="39" t="str">
        <f t="array" ref="P27">IFERROR(INDEX(Temps_Total,SMALL(IF(Id_Impression=$A27,ROW(Temps_Total)-MIN(ROW(Temps_Total))+1),COLUMNS($A$3:F27))),"")</f>
        <v/>
      </c>
      <c r="Q27" s="39" t="str">
        <f t="array" ref="Q27">IFERROR(INDEX(Temps_Total,SMALL(IF(Id_Impression=$A27,ROW(Temps_Total)-MIN(ROW(Temps_Total))+1),COLUMNS($A$3:G27))),"")</f>
        <v/>
      </c>
      <c r="R27" s="38">
        <f t="array" ref="R27">IFERROR(INDEX(Quantité_à_imprimer_12_2017,SMALL(IF(Id_Impression=$A27,ROW(Quantité_à_imprimer_12_2017)-MIN(ROW(Quantité_à_imprimer_12_2017))+1),COLUMNS($A$3:A27))),"")</f>
        <v>1</v>
      </c>
      <c r="S27" s="38" t="str">
        <f t="array" ref="S27">IFERROR(INDEX(Quantité_à_imprimer_12_2017,SMALL(IF(Id_Impression=$A27,ROW(Quantité_à_imprimer_12_2017)-MIN(ROW(Quantité_à_imprimer_12_2017))+1),COLUMNS($A$3:B27))),"")</f>
        <v/>
      </c>
      <c r="T27" s="38" t="str">
        <f t="array" ref="T27">IFERROR(INDEX(Quantité_à_imprimer_12_2017,SMALL(IF(Id_Impression=$A27,ROW(Quantité_à_imprimer_12_2017)-MIN(ROW(Quantité_à_imprimer_12_2017))+1),COLUMNS($A$3:C27))),"")</f>
        <v/>
      </c>
      <c r="U27" s="38" t="str">
        <f t="array" ref="U27">IFERROR(INDEX(Quantité_à_imprimer_12_2017,SMALL(IF(Id_Impression=$A27,ROW(Quantité_à_imprimer_12_2017)-MIN(ROW(Quantité_à_imprimer_12_2017))+1),COLUMNS($A$3:D27))),"")</f>
        <v/>
      </c>
      <c r="V27" s="38" t="str">
        <f t="array" ref="V27">IFERROR(INDEX(Quantité_à_imprimer_12_2017,SMALL(IF(Id_Impression=$A27,ROW(Quantité_à_imprimer_12_2017)-MIN(ROW(Quantité_à_imprimer_12_2017))+1),COLUMNS($A$3:E27))),"")</f>
        <v/>
      </c>
      <c r="W27" s="38" t="str">
        <f t="array" ref="W27">IFERROR(INDEX(Quantité_à_imprimer_12_2017,SMALL(IF(Id_Impression=$A27,ROW(Quantité_à_imprimer_12_2017)-MIN(ROW(Quantité_à_imprimer_12_2017))+1),COLUMNS($A$3:F27))),"")</f>
        <v/>
      </c>
      <c r="X27" s="38" t="str">
        <f t="array" ref="X27">IFERROR(INDEX(Quantité_à_imprimer_12_2017,SMALL(IF(Id_Impression=$A27,ROW(Quantité_à_imprimer_12_2017)-MIN(ROW(Quantité_à_imprimer_12_2017))+1),COLUMNS($A$3:G27))),"")</f>
        <v/>
      </c>
    </row>
    <row r="28" spans="1:24" x14ac:dyDescent="0.55000000000000004">
      <c r="A28" s="40">
        <v>26</v>
      </c>
      <c r="B28" s="36">
        <f t="shared" si="0"/>
        <v>0.20208333333333331</v>
      </c>
      <c r="C28" s="37">
        <v>1</v>
      </c>
      <c r="D28" s="38" t="str">
        <f t="array" ref="D28">IFERROR(INDEX(Fichier_initial,SMALL(IF(Id_Impression=$A28,ROW(Fichier_initial)-MIN(ROW(Fichier_initial))+1),COLUMNS($A28:A28))),"")</f>
        <v>leftRotCenterV2</v>
      </c>
      <c r="E28" s="38" t="str">
        <f t="array" ref="E28">IFERROR(INDEX(Fichier_initial,SMALL(IF(Id_Impression=$A28,ROW(Fichier_initial)-MIN(ROW(Fichier_initial))+1),COLUMNS($A28:B28))),"")</f>
        <v/>
      </c>
      <c r="F28" s="38" t="str">
        <f t="array" ref="F28">IFERROR(INDEX(Fichier_initial,SMALL(IF(Id_Impression=$A28,ROW(Fichier_initial)-MIN(ROW(Fichier_initial))+1),COLUMNS($A28:C28))),"")</f>
        <v/>
      </c>
      <c r="G28" s="38" t="str">
        <f t="array" ref="G28">IFERROR(INDEX(Fichier_initial,SMALL(IF(Id_Impression=$A28,ROW(Fichier_initial)-MIN(ROW(Fichier_initial))+1),COLUMNS($A28:D28))),"")</f>
        <v/>
      </c>
      <c r="H28" s="38" t="str">
        <f t="array" ref="H28">IFERROR(INDEX(Fichier_initial,SMALL(IF(Id_Impression=$A28,ROW(Fichier_initial)-MIN(ROW(Fichier_initial))+1),COLUMNS($A28:E28))),"")</f>
        <v/>
      </c>
      <c r="I28" s="38" t="str">
        <f t="array" ref="I28">IFERROR(INDEX(Fichier_initial,SMALL(IF(Id_Impression=$A28,ROW(Fichier_initial)-MIN(ROW(Fichier_initial))+1),COLUMNS($A28:F28))),"")</f>
        <v/>
      </c>
      <c r="J28" s="38" t="str">
        <f t="array" ref="J28">IFERROR(INDEX(Fichier_initial,SMALL(IF(Id_Impression=$A28,ROW(Fichier_initial)-MIN(ROW(Fichier_initial))+1),COLUMNS($A28:G28))),"")</f>
        <v/>
      </c>
      <c r="K28" s="39">
        <f t="array" ref="K28">IFERROR(INDEX(Temps_Total,SMALL(IF(Id_Impression=$A28,ROW(Temps_Total)-MIN(ROW(Temps_Total))+1),COLUMNS($A$3:A28))),"")</f>
        <v>0.20208333333333331</v>
      </c>
      <c r="L28" s="39" t="str">
        <f t="array" ref="L28">IFERROR(INDEX(Temps_Total,SMALL(IF(Id_Impression=$A28,ROW(Temps_Total)-MIN(ROW(Temps_Total))+1),COLUMNS($A$3:B28))),"")</f>
        <v/>
      </c>
      <c r="M28" s="39" t="str">
        <f t="array" ref="M28">IFERROR(INDEX(Temps_Total,SMALL(IF(Id_Impression=$A28,ROW(Temps_Total)-MIN(ROW(Temps_Total))+1),COLUMNS($A$3:C28))),"")</f>
        <v/>
      </c>
      <c r="N28" s="39" t="str">
        <f t="array" ref="N28">IFERROR(INDEX(Temps_Total,SMALL(IF(Id_Impression=$A28,ROW(Temps_Total)-MIN(ROW(Temps_Total))+1),COLUMNS($A$3:D28))),"")</f>
        <v/>
      </c>
      <c r="O28" s="39" t="str">
        <f t="array" ref="O28">IFERROR(INDEX(Temps_Total,SMALL(IF(Id_Impression=$A28,ROW(Temps_Total)-MIN(ROW(Temps_Total))+1),COLUMNS($A$3:E28))),"")</f>
        <v/>
      </c>
      <c r="P28" s="39" t="str">
        <f t="array" ref="P28">IFERROR(INDEX(Temps_Total,SMALL(IF(Id_Impression=$A28,ROW(Temps_Total)-MIN(ROW(Temps_Total))+1),COLUMNS($A$3:F28))),"")</f>
        <v/>
      </c>
      <c r="Q28" s="39" t="str">
        <f t="array" ref="Q28">IFERROR(INDEX(Temps_Total,SMALL(IF(Id_Impression=$A28,ROW(Temps_Total)-MIN(ROW(Temps_Total))+1),COLUMNS($A$3:G28))),"")</f>
        <v/>
      </c>
      <c r="R28" s="38">
        <f t="array" ref="R28">IFERROR(INDEX(Quantité_à_imprimer_12_2017,SMALL(IF(Id_Impression=$A28,ROW(Quantité_à_imprimer_12_2017)-MIN(ROW(Quantité_à_imprimer_12_2017))+1),COLUMNS($A$3:A28))),"")</f>
        <v>1</v>
      </c>
      <c r="S28" s="38" t="str">
        <f t="array" ref="S28">IFERROR(INDEX(Quantité_à_imprimer_12_2017,SMALL(IF(Id_Impression=$A28,ROW(Quantité_à_imprimer_12_2017)-MIN(ROW(Quantité_à_imprimer_12_2017))+1),COLUMNS($A$3:B28))),"")</f>
        <v/>
      </c>
      <c r="T28" s="38" t="str">
        <f t="array" ref="T28">IFERROR(INDEX(Quantité_à_imprimer_12_2017,SMALL(IF(Id_Impression=$A28,ROW(Quantité_à_imprimer_12_2017)-MIN(ROW(Quantité_à_imprimer_12_2017))+1),COLUMNS($A$3:C28))),"")</f>
        <v/>
      </c>
      <c r="U28" s="38" t="str">
        <f t="array" ref="U28">IFERROR(INDEX(Quantité_à_imprimer_12_2017,SMALL(IF(Id_Impression=$A28,ROW(Quantité_à_imprimer_12_2017)-MIN(ROW(Quantité_à_imprimer_12_2017))+1),COLUMNS($A$3:D28))),"")</f>
        <v/>
      </c>
      <c r="V28" s="38" t="str">
        <f t="array" ref="V28">IFERROR(INDEX(Quantité_à_imprimer_12_2017,SMALL(IF(Id_Impression=$A28,ROW(Quantité_à_imprimer_12_2017)-MIN(ROW(Quantité_à_imprimer_12_2017))+1),COLUMNS($A$3:E28))),"")</f>
        <v/>
      </c>
      <c r="W28" s="38" t="str">
        <f t="array" ref="W28">IFERROR(INDEX(Quantité_à_imprimer_12_2017,SMALL(IF(Id_Impression=$A28,ROW(Quantité_à_imprimer_12_2017)-MIN(ROW(Quantité_à_imprimer_12_2017))+1),COLUMNS($A$3:F28))),"")</f>
        <v/>
      </c>
      <c r="X28" s="38" t="str">
        <f t="array" ref="X28">IFERROR(INDEX(Quantité_à_imprimer_12_2017,SMALL(IF(Id_Impression=$A28,ROW(Quantité_à_imprimer_12_2017)-MIN(ROW(Quantité_à_imprimer_12_2017))+1),COLUMNS($A$3:G28))),"")</f>
        <v/>
      </c>
    </row>
    <row r="29" spans="1:24" x14ac:dyDescent="0.55000000000000004">
      <c r="A29" s="40">
        <v>27</v>
      </c>
      <c r="B29" s="36">
        <f t="shared" si="0"/>
        <v>0.20694444444444446</v>
      </c>
      <c r="C29" s="37">
        <v>1</v>
      </c>
      <c r="D29" s="38" t="str">
        <f t="array" ref="D29">IFERROR(INDEX(Fichier_initial,SMALL(IF(Id_Impression=$A29,ROW(Fichier_initial)-MIN(ROW(Fichier_initial))+1),COLUMNS($A29:A29))),"")</f>
        <v>HighArmSideV2</v>
      </c>
      <c r="E29" s="38" t="str">
        <f t="array" ref="E29">IFERROR(INDEX(Fichier_initial,SMALL(IF(Id_Impression=$A29,ROW(Fichier_initial)-MIN(ROW(Fichier_initial))+1),COLUMNS($A29:B29))),"")</f>
        <v/>
      </c>
      <c r="F29" s="38" t="str">
        <f t="array" ref="F29">IFERROR(INDEX(Fichier_initial,SMALL(IF(Id_Impression=$A29,ROW(Fichier_initial)-MIN(ROW(Fichier_initial))+1),COLUMNS($A29:C29))),"")</f>
        <v/>
      </c>
      <c r="G29" s="38" t="str">
        <f t="array" ref="G29">IFERROR(INDEX(Fichier_initial,SMALL(IF(Id_Impression=$A29,ROW(Fichier_initial)-MIN(ROW(Fichier_initial))+1),COLUMNS($A29:D29))),"")</f>
        <v/>
      </c>
      <c r="H29" s="38" t="str">
        <f t="array" ref="H29">IFERROR(INDEX(Fichier_initial,SMALL(IF(Id_Impression=$A29,ROW(Fichier_initial)-MIN(ROW(Fichier_initial))+1),COLUMNS($A29:E29))),"")</f>
        <v/>
      </c>
      <c r="I29" s="38" t="str">
        <f t="array" ref="I29">IFERROR(INDEX(Fichier_initial,SMALL(IF(Id_Impression=$A29,ROW(Fichier_initial)-MIN(ROW(Fichier_initial))+1),COLUMNS($A29:F29))),"")</f>
        <v/>
      </c>
      <c r="J29" s="38" t="str">
        <f t="array" ref="J29">IFERROR(INDEX(Fichier_initial,SMALL(IF(Id_Impression=$A29,ROW(Fichier_initial)-MIN(ROW(Fichier_initial))+1),COLUMNS($A29:G29))),"")</f>
        <v/>
      </c>
      <c r="K29" s="39">
        <f t="array" ref="K29">IFERROR(INDEX(Temps_Total,SMALL(IF(Id_Impression=$A29,ROW(Temps_Total)-MIN(ROW(Temps_Total))+1),COLUMNS($A$3:A29))),"")</f>
        <v>0.20694444444444446</v>
      </c>
      <c r="L29" s="39" t="str">
        <f t="array" ref="L29">IFERROR(INDEX(Temps_Total,SMALL(IF(Id_Impression=$A29,ROW(Temps_Total)-MIN(ROW(Temps_Total))+1),COLUMNS($A$3:B29))),"")</f>
        <v/>
      </c>
      <c r="M29" s="39" t="str">
        <f t="array" ref="M29">IFERROR(INDEX(Temps_Total,SMALL(IF(Id_Impression=$A29,ROW(Temps_Total)-MIN(ROW(Temps_Total))+1),COLUMNS($A$3:C29))),"")</f>
        <v/>
      </c>
      <c r="N29" s="39" t="str">
        <f t="array" ref="N29">IFERROR(INDEX(Temps_Total,SMALL(IF(Id_Impression=$A29,ROW(Temps_Total)-MIN(ROW(Temps_Total))+1),COLUMNS($A$3:D29))),"")</f>
        <v/>
      </c>
      <c r="O29" s="39" t="str">
        <f t="array" ref="O29">IFERROR(INDEX(Temps_Total,SMALL(IF(Id_Impression=$A29,ROW(Temps_Total)-MIN(ROW(Temps_Total))+1),COLUMNS($A$3:E29))),"")</f>
        <v/>
      </c>
      <c r="P29" s="39" t="str">
        <f t="array" ref="P29">IFERROR(INDEX(Temps_Total,SMALL(IF(Id_Impression=$A29,ROW(Temps_Total)-MIN(ROW(Temps_Total))+1),COLUMNS($A$3:F29))),"")</f>
        <v/>
      </c>
      <c r="Q29" s="39" t="str">
        <f t="array" ref="Q29">IFERROR(INDEX(Temps_Total,SMALL(IF(Id_Impression=$A29,ROW(Temps_Total)-MIN(ROW(Temps_Total))+1),COLUMNS($A$3:G29))),"")</f>
        <v/>
      </c>
      <c r="R29" s="38">
        <f t="array" ref="R29">IFERROR(INDEX(Quantité_à_imprimer_12_2017,SMALL(IF(Id_Impression=$A29,ROW(Quantité_à_imprimer_12_2017)-MIN(ROW(Quantité_à_imprimer_12_2017))+1),COLUMNS($A$3:A29))),"")</f>
        <v>2</v>
      </c>
      <c r="S29" s="38" t="str">
        <f t="array" ref="S29">IFERROR(INDEX(Quantité_à_imprimer_12_2017,SMALL(IF(Id_Impression=$A29,ROW(Quantité_à_imprimer_12_2017)-MIN(ROW(Quantité_à_imprimer_12_2017))+1),COLUMNS($A$3:B29))),"")</f>
        <v/>
      </c>
      <c r="T29" s="38" t="str">
        <f t="array" ref="T29">IFERROR(INDEX(Quantité_à_imprimer_12_2017,SMALL(IF(Id_Impression=$A29,ROW(Quantité_à_imprimer_12_2017)-MIN(ROW(Quantité_à_imprimer_12_2017))+1),COLUMNS($A$3:C29))),"")</f>
        <v/>
      </c>
      <c r="U29" s="38" t="str">
        <f t="array" ref="U29">IFERROR(INDEX(Quantité_à_imprimer_12_2017,SMALL(IF(Id_Impression=$A29,ROW(Quantité_à_imprimer_12_2017)-MIN(ROW(Quantité_à_imprimer_12_2017))+1),COLUMNS($A$3:D29))),"")</f>
        <v/>
      </c>
      <c r="V29" s="38" t="str">
        <f t="array" ref="V29">IFERROR(INDEX(Quantité_à_imprimer_12_2017,SMALL(IF(Id_Impression=$A29,ROW(Quantité_à_imprimer_12_2017)-MIN(ROW(Quantité_à_imprimer_12_2017))+1),COLUMNS($A$3:E29))),"")</f>
        <v/>
      </c>
      <c r="W29" s="38" t="str">
        <f t="array" ref="W29">IFERROR(INDEX(Quantité_à_imprimer_12_2017,SMALL(IF(Id_Impression=$A29,ROW(Quantité_à_imprimer_12_2017)-MIN(ROW(Quantité_à_imprimer_12_2017))+1),COLUMNS($A$3:F29))),"")</f>
        <v/>
      </c>
      <c r="X29" s="38" t="str">
        <f t="array" ref="X29">IFERROR(INDEX(Quantité_à_imprimer_12_2017,SMALL(IF(Id_Impression=$A29,ROW(Quantité_à_imprimer_12_2017)-MIN(ROW(Quantité_à_imprimer_12_2017))+1),COLUMNS($A$3:G29))),"")</f>
        <v/>
      </c>
    </row>
    <row r="30" spans="1:24" x14ac:dyDescent="0.55000000000000004">
      <c r="A30" s="40">
        <v>28</v>
      </c>
      <c r="B30" s="36">
        <f t="shared" si="0"/>
        <v>0.25763888888888892</v>
      </c>
      <c r="C30" s="37">
        <v>1</v>
      </c>
      <c r="D30" s="38" t="str">
        <f t="array" ref="D30">IFERROR(INDEX(Fichier_initial,SMALL(IF(Id_Impression=$A30,ROW(Fichier_initial)-MIN(ROW(Fichier_initial))+1),COLUMNS($A30:A30))),"")</f>
        <v>armtopcover1</v>
      </c>
      <c r="E30" s="38" t="str">
        <f t="array" ref="E30">IFERROR(INDEX(Fichier_initial,SMALL(IF(Id_Impression=$A30,ROW(Fichier_initial)-MIN(ROW(Fichier_initial))+1),COLUMNS($A30:B30))),"")</f>
        <v/>
      </c>
      <c r="F30" s="38" t="str">
        <f t="array" ref="F30">IFERROR(INDEX(Fichier_initial,SMALL(IF(Id_Impression=$A30,ROW(Fichier_initial)-MIN(ROW(Fichier_initial))+1),COLUMNS($A30:C30))),"")</f>
        <v/>
      </c>
      <c r="G30" s="38" t="str">
        <f t="array" ref="G30">IFERROR(INDEX(Fichier_initial,SMALL(IF(Id_Impression=$A30,ROW(Fichier_initial)-MIN(ROW(Fichier_initial))+1),COLUMNS($A30:D30))),"")</f>
        <v/>
      </c>
      <c r="H30" s="38" t="str">
        <f t="array" ref="H30">IFERROR(INDEX(Fichier_initial,SMALL(IF(Id_Impression=$A30,ROW(Fichier_initial)-MIN(ROW(Fichier_initial))+1),COLUMNS($A30:E30))),"")</f>
        <v/>
      </c>
      <c r="I30" s="38" t="str">
        <f t="array" ref="I30">IFERROR(INDEX(Fichier_initial,SMALL(IF(Id_Impression=$A30,ROW(Fichier_initial)-MIN(ROW(Fichier_initial))+1),COLUMNS($A30:F30))),"")</f>
        <v/>
      </c>
      <c r="J30" s="38" t="str">
        <f t="array" ref="J30">IFERROR(INDEX(Fichier_initial,SMALL(IF(Id_Impression=$A30,ROW(Fichier_initial)-MIN(ROW(Fichier_initial))+1),COLUMNS($A30:G30))),"")</f>
        <v/>
      </c>
      <c r="K30" s="39">
        <f t="array" ref="K30">IFERROR(INDEX(Temps_Total,SMALL(IF(Id_Impression=$A30,ROW(Temps_Total)-MIN(ROW(Temps_Total))+1),COLUMNS($A$3:A30))),"")</f>
        <v>0.25763888888888892</v>
      </c>
      <c r="L30" s="39" t="str">
        <f t="array" ref="L30">IFERROR(INDEX(Temps_Total,SMALL(IF(Id_Impression=$A30,ROW(Temps_Total)-MIN(ROW(Temps_Total))+1),COLUMNS($A$3:B30))),"")</f>
        <v/>
      </c>
      <c r="M30" s="39" t="str">
        <f t="array" ref="M30">IFERROR(INDEX(Temps_Total,SMALL(IF(Id_Impression=$A30,ROW(Temps_Total)-MIN(ROW(Temps_Total))+1),COLUMNS($A$3:C30))),"")</f>
        <v/>
      </c>
      <c r="N30" s="39" t="str">
        <f t="array" ref="N30">IFERROR(INDEX(Temps_Total,SMALL(IF(Id_Impression=$A30,ROW(Temps_Total)-MIN(ROW(Temps_Total))+1),COLUMNS($A$3:D30))),"")</f>
        <v/>
      </c>
      <c r="O30" s="39" t="str">
        <f t="array" ref="O30">IFERROR(INDEX(Temps_Total,SMALL(IF(Id_Impression=$A30,ROW(Temps_Total)-MIN(ROW(Temps_Total))+1),COLUMNS($A$3:E30))),"")</f>
        <v/>
      </c>
      <c r="P30" s="39" t="str">
        <f t="array" ref="P30">IFERROR(INDEX(Temps_Total,SMALL(IF(Id_Impression=$A30,ROW(Temps_Total)-MIN(ROW(Temps_Total))+1),COLUMNS($A$3:F30))),"")</f>
        <v/>
      </c>
      <c r="Q30" s="39" t="str">
        <f t="array" ref="Q30">IFERROR(INDEX(Temps_Total,SMALL(IF(Id_Impression=$A30,ROW(Temps_Total)-MIN(ROW(Temps_Total))+1),COLUMNS($A$3:G30))),"")</f>
        <v/>
      </c>
      <c r="R30" s="38">
        <f t="array" ref="R30">IFERROR(INDEX(Quantité_à_imprimer_12_2017,SMALL(IF(Id_Impression=$A30,ROW(Quantité_à_imprimer_12_2017)-MIN(ROW(Quantité_à_imprimer_12_2017))+1),COLUMNS($A$3:A30))),"")</f>
        <v>1</v>
      </c>
      <c r="S30" s="38" t="str">
        <f t="array" ref="S30">IFERROR(INDEX(Quantité_à_imprimer_12_2017,SMALL(IF(Id_Impression=$A30,ROW(Quantité_à_imprimer_12_2017)-MIN(ROW(Quantité_à_imprimer_12_2017))+1),COLUMNS($A$3:B30))),"")</f>
        <v/>
      </c>
      <c r="T30" s="38" t="str">
        <f t="array" ref="T30">IFERROR(INDEX(Quantité_à_imprimer_12_2017,SMALL(IF(Id_Impression=$A30,ROW(Quantité_à_imprimer_12_2017)-MIN(ROW(Quantité_à_imprimer_12_2017))+1),COLUMNS($A$3:C30))),"")</f>
        <v/>
      </c>
      <c r="U30" s="38" t="str">
        <f t="array" ref="U30">IFERROR(INDEX(Quantité_à_imprimer_12_2017,SMALL(IF(Id_Impression=$A30,ROW(Quantité_à_imprimer_12_2017)-MIN(ROW(Quantité_à_imprimer_12_2017))+1),COLUMNS($A$3:D30))),"")</f>
        <v/>
      </c>
      <c r="V30" s="38" t="str">
        <f t="array" ref="V30">IFERROR(INDEX(Quantité_à_imprimer_12_2017,SMALL(IF(Id_Impression=$A30,ROW(Quantité_à_imprimer_12_2017)-MIN(ROW(Quantité_à_imprimer_12_2017))+1),COLUMNS($A$3:E30))),"")</f>
        <v/>
      </c>
      <c r="W30" s="38" t="str">
        <f t="array" ref="W30">IFERROR(INDEX(Quantité_à_imprimer_12_2017,SMALL(IF(Id_Impression=$A30,ROW(Quantité_à_imprimer_12_2017)-MIN(ROW(Quantité_à_imprimer_12_2017))+1),COLUMNS($A$3:F30))),"")</f>
        <v/>
      </c>
      <c r="X30" s="38" t="str">
        <f t="array" ref="X30">IFERROR(INDEX(Quantité_à_imprimer_12_2017,SMALL(IF(Id_Impression=$A30,ROW(Quantité_à_imprimer_12_2017)-MIN(ROW(Quantité_à_imprimer_12_2017))+1),COLUMNS($A$3:G30))),"")</f>
        <v/>
      </c>
    </row>
    <row r="31" spans="1:24" x14ac:dyDescent="0.55000000000000004">
      <c r="A31" s="40">
        <v>29</v>
      </c>
      <c r="B31" s="36">
        <f t="shared" si="0"/>
        <v>0.37083333333333335</v>
      </c>
      <c r="C31" s="37">
        <v>1</v>
      </c>
      <c r="D31" s="38" t="str">
        <f t="array" ref="D31">IFERROR(INDEX(Fichier_initial,SMALL(IF(Id_Impression=$A31,ROW(Fichier_initial)-MIN(ROW(Fichier_initial))+1),COLUMNS($A31:A31))),"")</f>
        <v>armtopcover3</v>
      </c>
      <c r="E31" s="38" t="str">
        <f t="array" ref="E31">IFERROR(INDEX(Fichier_initial,SMALL(IF(Id_Impression=$A31,ROW(Fichier_initial)-MIN(ROW(Fichier_initial))+1),COLUMNS($A31:B31))),"")</f>
        <v/>
      </c>
      <c r="F31" s="38" t="str">
        <f t="array" ref="F31">IFERROR(INDEX(Fichier_initial,SMALL(IF(Id_Impression=$A31,ROW(Fichier_initial)-MIN(ROW(Fichier_initial))+1),COLUMNS($A31:C31))),"")</f>
        <v/>
      </c>
      <c r="G31" s="38" t="str">
        <f t="array" ref="G31">IFERROR(INDEX(Fichier_initial,SMALL(IF(Id_Impression=$A31,ROW(Fichier_initial)-MIN(ROW(Fichier_initial))+1),COLUMNS($A31:D31))),"")</f>
        <v/>
      </c>
      <c r="H31" s="38" t="str">
        <f t="array" ref="H31">IFERROR(INDEX(Fichier_initial,SMALL(IF(Id_Impression=$A31,ROW(Fichier_initial)-MIN(ROW(Fichier_initial))+1),COLUMNS($A31:E31))),"")</f>
        <v/>
      </c>
      <c r="I31" s="38" t="str">
        <f t="array" ref="I31">IFERROR(INDEX(Fichier_initial,SMALL(IF(Id_Impression=$A31,ROW(Fichier_initial)-MIN(ROW(Fichier_initial))+1),COLUMNS($A31:F31))),"")</f>
        <v/>
      </c>
      <c r="J31" s="38" t="str">
        <f t="array" ref="J31">IFERROR(INDEX(Fichier_initial,SMALL(IF(Id_Impression=$A31,ROW(Fichier_initial)-MIN(ROW(Fichier_initial))+1),COLUMNS($A31:G31))),"")</f>
        <v/>
      </c>
      <c r="K31" s="39">
        <f t="array" ref="K31">IFERROR(INDEX(Temps_Total,SMALL(IF(Id_Impression=$A31,ROW(Temps_Total)-MIN(ROW(Temps_Total))+1),COLUMNS($A$3:A31))),"")</f>
        <v>0.37083333333333335</v>
      </c>
      <c r="L31" s="39" t="str">
        <f t="array" ref="L31">IFERROR(INDEX(Temps_Total,SMALL(IF(Id_Impression=$A31,ROW(Temps_Total)-MIN(ROW(Temps_Total))+1),COLUMNS($A$3:B31))),"")</f>
        <v/>
      </c>
      <c r="M31" s="39" t="str">
        <f t="array" ref="M31">IFERROR(INDEX(Temps_Total,SMALL(IF(Id_Impression=$A31,ROW(Temps_Total)-MIN(ROW(Temps_Total))+1),COLUMNS($A$3:C31))),"")</f>
        <v/>
      </c>
      <c r="N31" s="39" t="str">
        <f t="array" ref="N31">IFERROR(INDEX(Temps_Total,SMALL(IF(Id_Impression=$A31,ROW(Temps_Total)-MIN(ROW(Temps_Total))+1),COLUMNS($A$3:D31))),"")</f>
        <v/>
      </c>
      <c r="O31" s="39" t="str">
        <f t="array" ref="O31">IFERROR(INDEX(Temps_Total,SMALL(IF(Id_Impression=$A31,ROW(Temps_Total)-MIN(ROW(Temps_Total))+1),COLUMNS($A$3:E31))),"")</f>
        <v/>
      </c>
      <c r="P31" s="39" t="str">
        <f t="array" ref="P31">IFERROR(INDEX(Temps_Total,SMALL(IF(Id_Impression=$A31,ROW(Temps_Total)-MIN(ROW(Temps_Total))+1),COLUMNS($A$3:F31))),"")</f>
        <v/>
      </c>
      <c r="Q31" s="39" t="str">
        <f t="array" ref="Q31">IFERROR(INDEX(Temps_Total,SMALL(IF(Id_Impression=$A31,ROW(Temps_Total)-MIN(ROW(Temps_Total))+1),COLUMNS($A$3:G31))),"")</f>
        <v/>
      </c>
      <c r="R31" s="38">
        <f t="array" ref="R31">IFERROR(INDEX(Quantité_à_imprimer_12_2017,SMALL(IF(Id_Impression=$A31,ROW(Quantité_à_imprimer_12_2017)-MIN(ROW(Quantité_à_imprimer_12_2017))+1),COLUMNS($A$3:A31))),"")</f>
        <v>1</v>
      </c>
      <c r="S31" s="38" t="str">
        <f t="array" ref="S31">IFERROR(INDEX(Quantité_à_imprimer_12_2017,SMALL(IF(Id_Impression=$A31,ROW(Quantité_à_imprimer_12_2017)-MIN(ROW(Quantité_à_imprimer_12_2017))+1),COLUMNS($A$3:B31))),"")</f>
        <v/>
      </c>
      <c r="T31" s="38" t="str">
        <f t="array" ref="T31">IFERROR(INDEX(Quantité_à_imprimer_12_2017,SMALL(IF(Id_Impression=$A31,ROW(Quantité_à_imprimer_12_2017)-MIN(ROW(Quantité_à_imprimer_12_2017))+1),COLUMNS($A$3:C31))),"")</f>
        <v/>
      </c>
      <c r="U31" s="38" t="str">
        <f t="array" ref="U31">IFERROR(INDEX(Quantité_à_imprimer_12_2017,SMALL(IF(Id_Impression=$A31,ROW(Quantité_à_imprimer_12_2017)-MIN(ROW(Quantité_à_imprimer_12_2017))+1),COLUMNS($A$3:D31))),"")</f>
        <v/>
      </c>
      <c r="V31" s="38" t="str">
        <f t="array" ref="V31">IFERROR(INDEX(Quantité_à_imprimer_12_2017,SMALL(IF(Id_Impression=$A31,ROW(Quantité_à_imprimer_12_2017)-MIN(ROW(Quantité_à_imprimer_12_2017))+1),COLUMNS($A$3:E31))),"")</f>
        <v/>
      </c>
      <c r="W31" s="38" t="str">
        <f t="array" ref="W31">IFERROR(INDEX(Quantité_à_imprimer_12_2017,SMALL(IF(Id_Impression=$A31,ROW(Quantité_à_imprimer_12_2017)-MIN(ROW(Quantité_à_imprimer_12_2017))+1),COLUMNS($A$3:F31))),"")</f>
        <v/>
      </c>
      <c r="X31" s="38" t="str">
        <f t="array" ref="X31">IFERROR(INDEX(Quantité_à_imprimer_12_2017,SMALL(IF(Id_Impression=$A31,ROW(Quantité_à_imprimer_12_2017)-MIN(ROW(Quantité_à_imprimer_12_2017))+1),COLUMNS($A$3:G31))),"")</f>
        <v/>
      </c>
    </row>
    <row r="32" spans="1:24" x14ac:dyDescent="0.55000000000000004">
      <c r="A32" s="40">
        <v>30</v>
      </c>
      <c r="B32" s="36">
        <f t="shared" si="0"/>
        <v>0.23263888888888887</v>
      </c>
      <c r="C32" s="37">
        <v>1</v>
      </c>
      <c r="D32" s="38" t="str">
        <f t="array" ref="D32">IFERROR(INDEX(Fichier_initial,SMALL(IF(Id_Impression=$A32,ROW(Fichier_initial)-MIN(ROW(Fichier_initial))+1),COLUMNS($A32:A32))),"")</f>
        <v>leftPivcenterV1</v>
      </c>
      <c r="E32" s="38" t="str">
        <f t="array" ref="E32">IFERROR(INDEX(Fichier_initial,SMALL(IF(Id_Impression=$A32,ROW(Fichier_initial)-MIN(ROW(Fichier_initial))+1),COLUMNS($A32:B32))),"")</f>
        <v/>
      </c>
      <c r="F32" s="38" t="str">
        <f t="array" ref="F32">IFERROR(INDEX(Fichier_initial,SMALL(IF(Id_Impression=$A32,ROW(Fichier_initial)-MIN(ROW(Fichier_initial))+1),COLUMNS($A32:C32))),"")</f>
        <v/>
      </c>
      <c r="G32" s="38" t="str">
        <f t="array" ref="G32">IFERROR(INDEX(Fichier_initial,SMALL(IF(Id_Impression=$A32,ROW(Fichier_initial)-MIN(ROW(Fichier_initial))+1),COLUMNS($A32:D32))),"")</f>
        <v/>
      </c>
      <c r="H32" s="38" t="str">
        <f t="array" ref="H32">IFERROR(INDEX(Fichier_initial,SMALL(IF(Id_Impression=$A32,ROW(Fichier_initial)-MIN(ROW(Fichier_initial))+1),COLUMNS($A32:E32))),"")</f>
        <v/>
      </c>
      <c r="I32" s="38" t="str">
        <f t="array" ref="I32">IFERROR(INDEX(Fichier_initial,SMALL(IF(Id_Impression=$A32,ROW(Fichier_initial)-MIN(ROW(Fichier_initial))+1),COLUMNS($A32:F32))),"")</f>
        <v/>
      </c>
      <c r="J32" s="38" t="str">
        <f t="array" ref="J32">IFERROR(INDEX(Fichier_initial,SMALL(IF(Id_Impression=$A32,ROW(Fichier_initial)-MIN(ROW(Fichier_initial))+1),COLUMNS($A32:G32))),"")</f>
        <v/>
      </c>
      <c r="K32" s="39">
        <f t="array" ref="K32">IFERROR(INDEX(Temps_Total,SMALL(IF(Id_Impression=$A32,ROW(Temps_Total)-MIN(ROW(Temps_Total))+1),COLUMNS($A$3:A32))),"")</f>
        <v>0.23263888888888887</v>
      </c>
      <c r="L32" s="39" t="str">
        <f t="array" ref="L32">IFERROR(INDEX(Temps_Total,SMALL(IF(Id_Impression=$A32,ROW(Temps_Total)-MIN(ROW(Temps_Total))+1),COLUMNS($A$3:B32))),"")</f>
        <v/>
      </c>
      <c r="M32" s="39" t="str">
        <f t="array" ref="M32">IFERROR(INDEX(Temps_Total,SMALL(IF(Id_Impression=$A32,ROW(Temps_Total)-MIN(ROW(Temps_Total))+1),COLUMNS($A$3:C32))),"")</f>
        <v/>
      </c>
      <c r="N32" s="39" t="str">
        <f t="array" ref="N32">IFERROR(INDEX(Temps_Total,SMALL(IF(Id_Impression=$A32,ROW(Temps_Total)-MIN(ROW(Temps_Total))+1),COLUMNS($A$3:D32))),"")</f>
        <v/>
      </c>
      <c r="O32" s="39" t="str">
        <f t="array" ref="O32">IFERROR(INDEX(Temps_Total,SMALL(IF(Id_Impression=$A32,ROW(Temps_Total)-MIN(ROW(Temps_Total))+1),COLUMNS($A$3:E32))),"")</f>
        <v/>
      </c>
      <c r="P32" s="39" t="str">
        <f t="array" ref="P32">IFERROR(INDEX(Temps_Total,SMALL(IF(Id_Impression=$A32,ROW(Temps_Total)-MIN(ROW(Temps_Total))+1),COLUMNS($A$3:F32))),"")</f>
        <v/>
      </c>
      <c r="Q32" s="39" t="str">
        <f t="array" ref="Q32">IFERROR(INDEX(Temps_Total,SMALL(IF(Id_Impression=$A32,ROW(Temps_Total)-MIN(ROW(Temps_Total))+1),COLUMNS($A$3:G32))),"")</f>
        <v/>
      </c>
      <c r="R32" s="38">
        <f t="array" ref="R32">IFERROR(INDEX(Quantité_à_imprimer_12_2017,SMALL(IF(Id_Impression=$A32,ROW(Quantité_à_imprimer_12_2017)-MIN(ROW(Quantité_à_imprimer_12_2017))+1),COLUMNS($A$3:A32))),"")</f>
        <v>1</v>
      </c>
      <c r="S32" s="38" t="str">
        <f t="array" ref="S32">IFERROR(INDEX(Quantité_à_imprimer_12_2017,SMALL(IF(Id_Impression=$A32,ROW(Quantité_à_imprimer_12_2017)-MIN(ROW(Quantité_à_imprimer_12_2017))+1),COLUMNS($A$3:B32))),"")</f>
        <v/>
      </c>
      <c r="T32" s="38" t="str">
        <f t="array" ref="T32">IFERROR(INDEX(Quantité_à_imprimer_12_2017,SMALL(IF(Id_Impression=$A32,ROW(Quantité_à_imprimer_12_2017)-MIN(ROW(Quantité_à_imprimer_12_2017))+1),COLUMNS($A$3:C32))),"")</f>
        <v/>
      </c>
      <c r="U32" s="38" t="str">
        <f t="array" ref="U32">IFERROR(INDEX(Quantité_à_imprimer_12_2017,SMALL(IF(Id_Impression=$A32,ROW(Quantité_à_imprimer_12_2017)-MIN(ROW(Quantité_à_imprimer_12_2017))+1),COLUMNS($A$3:D32))),"")</f>
        <v/>
      </c>
      <c r="V32" s="38" t="str">
        <f t="array" ref="V32">IFERROR(INDEX(Quantité_à_imprimer_12_2017,SMALL(IF(Id_Impression=$A32,ROW(Quantité_à_imprimer_12_2017)-MIN(ROW(Quantité_à_imprimer_12_2017))+1),COLUMNS($A$3:E32))),"")</f>
        <v/>
      </c>
      <c r="W32" s="38" t="str">
        <f t="array" ref="W32">IFERROR(INDEX(Quantité_à_imprimer_12_2017,SMALL(IF(Id_Impression=$A32,ROW(Quantité_à_imprimer_12_2017)-MIN(ROW(Quantité_à_imprimer_12_2017))+1),COLUMNS($A$3:F32))),"")</f>
        <v/>
      </c>
      <c r="X32" s="38" t="str">
        <f t="array" ref="X32">IFERROR(INDEX(Quantité_à_imprimer_12_2017,SMALL(IF(Id_Impression=$A32,ROW(Quantité_à_imprimer_12_2017)-MIN(ROW(Quantité_à_imprimer_12_2017))+1),COLUMNS($A$3:G32))),"")</f>
        <v/>
      </c>
    </row>
    <row r="33" spans="1:24" x14ac:dyDescent="0.55000000000000004">
      <c r="A33" s="40">
        <v>31</v>
      </c>
      <c r="B33" s="36">
        <f t="shared" si="0"/>
        <v>0.15763888888888888</v>
      </c>
      <c r="C33" s="37">
        <v>2</v>
      </c>
      <c r="D33" s="38" t="str">
        <f t="array" ref="D33">IFERROR(INDEX(Fichier_initial,SMALL(IF(Id_Impression=$A33,ROW(Fichier_initial)-MIN(ROW(Fichier_initial))+1),COLUMNS($A33:A33))),"")</f>
        <v>PivWormV2</v>
      </c>
      <c r="E33" s="38" t="str">
        <f t="array" ref="E33">IFERROR(INDEX(Fichier_initial,SMALL(IF(Id_Impression=$A33,ROW(Fichier_initial)-MIN(ROW(Fichier_initial))+1),COLUMNS($A33:B33))),"")</f>
        <v>servoHolsterV1</v>
      </c>
      <c r="F33" s="38" t="str">
        <f t="array" ref="F33">IFERROR(INDEX(Fichier_initial,SMALL(IF(Id_Impression=$A33,ROW(Fichier_initial)-MIN(ROW(Fichier_initial))+1),COLUMNS($A33:C33))),"")</f>
        <v/>
      </c>
      <c r="G33" s="38" t="str">
        <f t="array" ref="G33">IFERROR(INDEX(Fichier_initial,SMALL(IF(Id_Impression=$A33,ROW(Fichier_initial)-MIN(ROW(Fichier_initial))+1),COLUMNS($A33:D33))),"")</f>
        <v/>
      </c>
      <c r="H33" s="38" t="str">
        <f t="array" ref="H33">IFERROR(INDEX(Fichier_initial,SMALL(IF(Id_Impression=$A33,ROW(Fichier_initial)-MIN(ROW(Fichier_initial))+1),COLUMNS($A33:E33))),"")</f>
        <v/>
      </c>
      <c r="I33" s="38" t="str">
        <f t="array" ref="I33">IFERROR(INDEX(Fichier_initial,SMALL(IF(Id_Impression=$A33,ROW(Fichier_initial)-MIN(ROW(Fichier_initial))+1),COLUMNS($A33:F33))),"")</f>
        <v/>
      </c>
      <c r="J33" s="38" t="str">
        <f t="array" ref="J33">IFERROR(INDEX(Fichier_initial,SMALL(IF(Id_Impression=$A33,ROW(Fichier_initial)-MIN(ROW(Fichier_initial))+1),COLUMNS($A33:G33))),"")</f>
        <v/>
      </c>
      <c r="K33" s="39">
        <f t="array" ref="K33">IFERROR(INDEX(Temps_Total,SMALL(IF(Id_Impression=$A33,ROW(Temps_Total)-MIN(ROW(Temps_Total))+1),COLUMNS($A$3:A33))),"")</f>
        <v>5.7638888888888885E-2</v>
      </c>
      <c r="L33" s="39">
        <f t="array" ref="L33">IFERROR(INDEX(Temps_Total,SMALL(IF(Id_Impression=$A33,ROW(Temps_Total)-MIN(ROW(Temps_Total))+1),COLUMNS($A$3:B33))),"")</f>
        <v>9.9999999999999992E-2</v>
      </c>
      <c r="M33" s="39" t="str">
        <f t="array" ref="M33">IFERROR(INDEX(Temps_Total,SMALL(IF(Id_Impression=$A33,ROW(Temps_Total)-MIN(ROW(Temps_Total))+1),COLUMNS($A$3:C33))),"")</f>
        <v/>
      </c>
      <c r="N33" s="39" t="str">
        <f t="array" ref="N33">IFERROR(INDEX(Temps_Total,SMALL(IF(Id_Impression=$A33,ROW(Temps_Total)-MIN(ROW(Temps_Total))+1),COLUMNS($A$3:D33))),"")</f>
        <v/>
      </c>
      <c r="O33" s="39" t="str">
        <f t="array" ref="O33">IFERROR(INDEX(Temps_Total,SMALL(IF(Id_Impression=$A33,ROW(Temps_Total)-MIN(ROW(Temps_Total))+1),COLUMNS($A$3:E33))),"")</f>
        <v/>
      </c>
      <c r="P33" s="39" t="str">
        <f t="array" ref="P33">IFERROR(INDEX(Temps_Total,SMALL(IF(Id_Impression=$A33,ROW(Temps_Total)-MIN(ROW(Temps_Total))+1),COLUMNS($A$3:F33))),"")</f>
        <v/>
      </c>
      <c r="Q33" s="39" t="str">
        <f t="array" ref="Q33">IFERROR(INDEX(Temps_Total,SMALL(IF(Id_Impression=$A33,ROW(Temps_Total)-MIN(ROW(Temps_Total))+1),COLUMNS($A$3:G33))),"")</f>
        <v/>
      </c>
      <c r="R33" s="38">
        <f t="array" ref="R33">IFERROR(INDEX(Quantité_à_imprimer_12_2017,SMALL(IF(Id_Impression=$A33,ROW(Quantité_à_imprimer_12_2017)-MIN(ROW(Quantité_à_imprimer_12_2017))+1),COLUMNS($A$3:A33))),"")</f>
        <v>1</v>
      </c>
      <c r="S33" s="38">
        <f t="array" ref="S33">IFERROR(INDEX(Quantité_à_imprimer_12_2017,SMALL(IF(Id_Impression=$A33,ROW(Quantité_à_imprimer_12_2017)-MIN(ROW(Quantité_à_imprimer_12_2017))+1),COLUMNS($A$3:B33))),"")</f>
        <v>1</v>
      </c>
      <c r="T33" s="38" t="str">
        <f t="array" ref="T33">IFERROR(INDEX(Quantité_à_imprimer_12_2017,SMALL(IF(Id_Impression=$A33,ROW(Quantité_à_imprimer_12_2017)-MIN(ROW(Quantité_à_imprimer_12_2017))+1),COLUMNS($A$3:C33))),"")</f>
        <v/>
      </c>
      <c r="U33" s="38" t="str">
        <f t="array" ref="U33">IFERROR(INDEX(Quantité_à_imprimer_12_2017,SMALL(IF(Id_Impression=$A33,ROW(Quantité_à_imprimer_12_2017)-MIN(ROW(Quantité_à_imprimer_12_2017))+1),COLUMNS($A$3:D33))),"")</f>
        <v/>
      </c>
      <c r="V33" s="38" t="str">
        <f t="array" ref="V33">IFERROR(INDEX(Quantité_à_imprimer_12_2017,SMALL(IF(Id_Impression=$A33,ROW(Quantité_à_imprimer_12_2017)-MIN(ROW(Quantité_à_imprimer_12_2017))+1),COLUMNS($A$3:E33))),"")</f>
        <v/>
      </c>
      <c r="W33" s="38" t="str">
        <f t="array" ref="W33">IFERROR(INDEX(Quantité_à_imprimer_12_2017,SMALL(IF(Id_Impression=$A33,ROW(Quantité_à_imprimer_12_2017)-MIN(ROW(Quantité_à_imprimer_12_2017))+1),COLUMNS($A$3:F33))),"")</f>
        <v/>
      </c>
      <c r="X33" s="38" t="str">
        <f t="array" ref="X33">IFERROR(INDEX(Quantité_à_imprimer_12_2017,SMALL(IF(Id_Impression=$A33,ROW(Quantité_à_imprimer_12_2017)-MIN(ROW(Quantité_à_imprimer_12_2017))+1),COLUMNS($A$3:G33))),"")</f>
        <v/>
      </c>
    </row>
    <row r="34" spans="1:24" x14ac:dyDescent="0.55000000000000004">
      <c r="A34" s="40">
        <v>32</v>
      </c>
      <c r="B34" s="36">
        <f t="shared" si="0"/>
        <v>0.16111111111111112</v>
      </c>
      <c r="C34" s="37">
        <v>2</v>
      </c>
      <c r="D34" s="38" t="str">
        <f t="array" ref="D34">IFERROR(INDEX(Fichier_initial,SMALL(IF(Id_Impression=$A34,ROW(Fichier_initial)-MIN(ROW(Fichier_initial))+1),COLUMNS($A34:A34))),"")</f>
        <v>leftPivPotholderV2</v>
      </c>
      <c r="E34" s="38" t="str">
        <f t="array" ref="E34">IFERROR(INDEX(Fichier_initial,SMALL(IF(Id_Impression=$A34,ROW(Fichier_initial)-MIN(ROW(Fichier_initial))+1),COLUMNS($A34:B34))),"")</f>
        <v>servoholderV1</v>
      </c>
      <c r="F34" s="38" t="str">
        <f t="array" ref="F34">IFERROR(INDEX(Fichier_initial,SMALL(IF(Id_Impression=$A34,ROW(Fichier_initial)-MIN(ROW(Fichier_initial))+1),COLUMNS($A34:C34))),"")</f>
        <v/>
      </c>
      <c r="G34" s="38" t="str">
        <f t="array" ref="G34">IFERROR(INDEX(Fichier_initial,SMALL(IF(Id_Impression=$A34,ROW(Fichier_initial)-MIN(ROW(Fichier_initial))+1),COLUMNS($A34:D34))),"")</f>
        <v/>
      </c>
      <c r="H34" s="38" t="str">
        <f t="array" ref="H34">IFERROR(INDEX(Fichier_initial,SMALL(IF(Id_Impression=$A34,ROW(Fichier_initial)-MIN(ROW(Fichier_initial))+1),COLUMNS($A34:E34))),"")</f>
        <v/>
      </c>
      <c r="I34" s="38" t="str">
        <f t="array" ref="I34">IFERROR(INDEX(Fichier_initial,SMALL(IF(Id_Impression=$A34,ROW(Fichier_initial)-MIN(ROW(Fichier_initial))+1),COLUMNS($A34:F34))),"")</f>
        <v/>
      </c>
      <c r="J34" s="38" t="str">
        <f t="array" ref="J34">IFERROR(INDEX(Fichier_initial,SMALL(IF(Id_Impression=$A34,ROW(Fichier_initial)-MIN(ROW(Fichier_initial))+1),COLUMNS($A34:G34))),"")</f>
        <v/>
      </c>
      <c r="K34" s="39">
        <f t="array" ref="K34">IFERROR(INDEX(Temps_Total,SMALL(IF(Id_Impression=$A34,ROW(Temps_Total)-MIN(ROW(Temps_Total))+1),COLUMNS($A$3:A34))),"")</f>
        <v>5.9027777777777783E-2</v>
      </c>
      <c r="L34" s="39">
        <f t="array" ref="L34">IFERROR(INDEX(Temps_Total,SMALL(IF(Id_Impression=$A34,ROW(Temps_Total)-MIN(ROW(Temps_Total))+1),COLUMNS($A$3:B34))),"")</f>
        <v>0.10208333333333335</v>
      </c>
      <c r="M34" s="39" t="str">
        <f t="array" ref="M34">IFERROR(INDEX(Temps_Total,SMALL(IF(Id_Impression=$A34,ROW(Temps_Total)-MIN(ROW(Temps_Total))+1),COLUMNS($A$3:C34))),"")</f>
        <v/>
      </c>
      <c r="N34" s="39" t="str">
        <f t="array" ref="N34">IFERROR(INDEX(Temps_Total,SMALL(IF(Id_Impression=$A34,ROW(Temps_Total)-MIN(ROW(Temps_Total))+1),COLUMNS($A$3:D34))),"")</f>
        <v/>
      </c>
      <c r="O34" s="39" t="str">
        <f t="array" ref="O34">IFERROR(INDEX(Temps_Total,SMALL(IF(Id_Impression=$A34,ROW(Temps_Total)-MIN(ROW(Temps_Total))+1),COLUMNS($A$3:E34))),"")</f>
        <v/>
      </c>
      <c r="P34" s="39" t="str">
        <f t="array" ref="P34">IFERROR(INDEX(Temps_Total,SMALL(IF(Id_Impression=$A34,ROW(Temps_Total)-MIN(ROW(Temps_Total))+1),COLUMNS($A$3:F34))),"")</f>
        <v/>
      </c>
      <c r="Q34" s="39" t="str">
        <f t="array" ref="Q34">IFERROR(INDEX(Temps_Total,SMALL(IF(Id_Impression=$A34,ROW(Temps_Total)-MIN(ROW(Temps_Total))+1),COLUMNS($A$3:G34))),"")</f>
        <v/>
      </c>
      <c r="R34" s="38">
        <f t="array" ref="R34">IFERROR(INDEX(Quantité_à_imprimer_12_2017,SMALL(IF(Id_Impression=$A34,ROW(Quantité_à_imprimer_12_2017)-MIN(ROW(Quantité_à_imprimer_12_2017))+1),COLUMNS($A$3:A34))),"")</f>
        <v>1</v>
      </c>
      <c r="S34" s="38">
        <f t="array" ref="S34">IFERROR(INDEX(Quantité_à_imprimer_12_2017,SMALL(IF(Id_Impression=$A34,ROW(Quantité_à_imprimer_12_2017)-MIN(ROW(Quantité_à_imprimer_12_2017))+1),COLUMNS($A$3:B34))),"")</f>
        <v>1</v>
      </c>
      <c r="T34" s="38" t="str">
        <f t="array" ref="T34">IFERROR(INDEX(Quantité_à_imprimer_12_2017,SMALL(IF(Id_Impression=$A34,ROW(Quantité_à_imprimer_12_2017)-MIN(ROW(Quantité_à_imprimer_12_2017))+1),COLUMNS($A$3:C34))),"")</f>
        <v/>
      </c>
      <c r="U34" s="38" t="str">
        <f t="array" ref="U34">IFERROR(INDEX(Quantité_à_imprimer_12_2017,SMALL(IF(Id_Impression=$A34,ROW(Quantité_à_imprimer_12_2017)-MIN(ROW(Quantité_à_imprimer_12_2017))+1),COLUMNS($A$3:D34))),"")</f>
        <v/>
      </c>
      <c r="V34" s="38" t="str">
        <f t="array" ref="V34">IFERROR(INDEX(Quantité_à_imprimer_12_2017,SMALL(IF(Id_Impression=$A34,ROW(Quantité_à_imprimer_12_2017)-MIN(ROW(Quantité_à_imprimer_12_2017))+1),COLUMNS($A$3:E34))),"")</f>
        <v/>
      </c>
      <c r="W34" s="38" t="str">
        <f t="array" ref="W34">IFERROR(INDEX(Quantité_à_imprimer_12_2017,SMALL(IF(Id_Impression=$A34,ROW(Quantité_à_imprimer_12_2017)-MIN(ROW(Quantité_à_imprimer_12_2017))+1),COLUMNS($A$3:F34))),"")</f>
        <v/>
      </c>
      <c r="X34" s="38" t="str">
        <f t="array" ref="X34">IFERROR(INDEX(Quantité_à_imprimer_12_2017,SMALL(IF(Id_Impression=$A34,ROW(Quantité_à_imprimer_12_2017)-MIN(ROW(Quantité_à_imprimer_12_2017))+1),COLUMNS($A$3:G34))),"")</f>
        <v/>
      </c>
    </row>
    <row r="35" spans="1:24" x14ac:dyDescent="0.55000000000000004">
      <c r="A35" s="40">
        <v>33</v>
      </c>
      <c r="B35" s="36">
        <f t="shared" si="0"/>
        <v>0.19027777777777777</v>
      </c>
      <c r="C35" s="37">
        <v>2</v>
      </c>
      <c r="D35" s="38" t="str">
        <f t="array" ref="D35">IFERROR(INDEX(Fichier_initial,SMALL(IF(Id_Impression=$A35,ROW(Fichier_initial)-MIN(ROW(Fichier_initial))+1),COLUMNS($A35:A35))),"")</f>
        <v>leftPivTitV1</v>
      </c>
      <c r="E35" s="38" t="str">
        <f t="array" ref="E35">IFERROR(INDEX(Fichier_initial,SMALL(IF(Id_Impression=$A35,ROW(Fichier_initial)-MIN(ROW(Fichier_initial))+1),COLUMNS($A35:B35))),"")</f>
        <v>PistonbaseV6</v>
      </c>
      <c r="F35" s="38" t="str">
        <f t="array" ref="F35">IFERROR(INDEX(Fichier_initial,SMALL(IF(Id_Impression=$A35,ROW(Fichier_initial)-MIN(ROW(Fichier_initial))+1),COLUMNS($A35:C35))),"")</f>
        <v/>
      </c>
      <c r="G35" s="38" t="str">
        <f t="array" ref="G35">IFERROR(INDEX(Fichier_initial,SMALL(IF(Id_Impression=$A35,ROW(Fichier_initial)-MIN(ROW(Fichier_initial))+1),COLUMNS($A35:D35))),"")</f>
        <v/>
      </c>
      <c r="H35" s="38" t="str">
        <f t="array" ref="H35">IFERROR(INDEX(Fichier_initial,SMALL(IF(Id_Impression=$A35,ROW(Fichier_initial)-MIN(ROW(Fichier_initial))+1),COLUMNS($A35:E35))),"")</f>
        <v/>
      </c>
      <c r="I35" s="38" t="str">
        <f t="array" ref="I35">IFERROR(INDEX(Fichier_initial,SMALL(IF(Id_Impression=$A35,ROW(Fichier_initial)-MIN(ROW(Fichier_initial))+1),COLUMNS($A35:F35))),"")</f>
        <v/>
      </c>
      <c r="J35" s="38" t="str">
        <f t="array" ref="J35">IFERROR(INDEX(Fichier_initial,SMALL(IF(Id_Impression=$A35,ROW(Fichier_initial)-MIN(ROW(Fichier_initial))+1),COLUMNS($A35:G35))),"")</f>
        <v/>
      </c>
      <c r="K35" s="39">
        <f t="array" ref="K35">IFERROR(INDEX(Temps_Total,SMALL(IF(Id_Impression=$A35,ROW(Temps_Total)-MIN(ROW(Temps_Total))+1),COLUMNS($A$3:A35))),"")</f>
        <v>0.1076388888888889</v>
      </c>
      <c r="L35" s="39">
        <f t="array" ref="L35">IFERROR(INDEX(Temps_Total,SMALL(IF(Id_Impression=$A35,ROW(Temps_Total)-MIN(ROW(Temps_Total))+1),COLUMNS($A$3:B35))),"")</f>
        <v>8.2638888888888887E-2</v>
      </c>
      <c r="M35" s="39" t="str">
        <f t="array" ref="M35">IFERROR(INDEX(Temps_Total,SMALL(IF(Id_Impression=$A35,ROW(Temps_Total)-MIN(ROW(Temps_Total))+1),COLUMNS($A$3:C35))),"")</f>
        <v/>
      </c>
      <c r="N35" s="39" t="str">
        <f t="array" ref="N35">IFERROR(INDEX(Temps_Total,SMALL(IF(Id_Impression=$A35,ROW(Temps_Total)-MIN(ROW(Temps_Total))+1),COLUMNS($A$3:D35))),"")</f>
        <v/>
      </c>
      <c r="O35" s="39" t="str">
        <f t="array" ref="O35">IFERROR(INDEX(Temps_Total,SMALL(IF(Id_Impression=$A35,ROW(Temps_Total)-MIN(ROW(Temps_Total))+1),COLUMNS($A$3:E35))),"")</f>
        <v/>
      </c>
      <c r="P35" s="39" t="str">
        <f t="array" ref="P35">IFERROR(INDEX(Temps_Total,SMALL(IF(Id_Impression=$A35,ROW(Temps_Total)-MIN(ROW(Temps_Total))+1),COLUMNS($A$3:F35))),"")</f>
        <v/>
      </c>
      <c r="Q35" s="39" t="str">
        <f t="array" ref="Q35">IFERROR(INDEX(Temps_Total,SMALL(IF(Id_Impression=$A35,ROW(Temps_Total)-MIN(ROW(Temps_Total))+1),COLUMNS($A$3:G35))),"")</f>
        <v/>
      </c>
      <c r="R35" s="38">
        <f t="array" ref="R35">IFERROR(INDEX(Quantité_à_imprimer_12_2017,SMALL(IF(Id_Impression=$A35,ROW(Quantité_à_imprimer_12_2017)-MIN(ROW(Quantité_à_imprimer_12_2017))+1),COLUMNS($A$3:A35))),"")</f>
        <v>1</v>
      </c>
      <c r="S35" s="38">
        <f t="array" ref="S35">IFERROR(INDEX(Quantité_à_imprimer_12_2017,SMALL(IF(Id_Impression=$A35,ROW(Quantité_à_imprimer_12_2017)-MIN(ROW(Quantité_à_imprimer_12_2017))+1),COLUMNS($A$3:B35))),"")</f>
        <v>1</v>
      </c>
      <c r="T35" s="38" t="str">
        <f t="array" ref="T35">IFERROR(INDEX(Quantité_à_imprimer_12_2017,SMALL(IF(Id_Impression=$A35,ROW(Quantité_à_imprimer_12_2017)-MIN(ROW(Quantité_à_imprimer_12_2017))+1),COLUMNS($A$3:C35))),"")</f>
        <v/>
      </c>
      <c r="U35" s="38" t="str">
        <f t="array" ref="U35">IFERROR(INDEX(Quantité_à_imprimer_12_2017,SMALL(IF(Id_Impression=$A35,ROW(Quantité_à_imprimer_12_2017)-MIN(ROW(Quantité_à_imprimer_12_2017))+1),COLUMNS($A$3:D35))),"")</f>
        <v/>
      </c>
      <c r="V35" s="38" t="str">
        <f t="array" ref="V35">IFERROR(INDEX(Quantité_à_imprimer_12_2017,SMALL(IF(Id_Impression=$A35,ROW(Quantité_à_imprimer_12_2017)-MIN(ROW(Quantité_à_imprimer_12_2017))+1),COLUMNS($A$3:E35))),"")</f>
        <v/>
      </c>
      <c r="W35" s="38" t="str">
        <f t="array" ref="W35">IFERROR(INDEX(Quantité_à_imprimer_12_2017,SMALL(IF(Id_Impression=$A35,ROW(Quantité_à_imprimer_12_2017)-MIN(ROW(Quantité_à_imprimer_12_2017))+1),COLUMNS($A$3:F35))),"")</f>
        <v/>
      </c>
      <c r="X35" s="38" t="str">
        <f t="array" ref="X35">IFERROR(INDEX(Quantité_à_imprimer_12_2017,SMALL(IF(Id_Impression=$A35,ROW(Quantité_à_imprimer_12_2017)-MIN(ROW(Quantité_à_imprimer_12_2017))+1),COLUMNS($A$3:G35))),"")</f>
        <v/>
      </c>
    </row>
    <row r="36" spans="1:24" x14ac:dyDescent="0.55000000000000004">
      <c r="A36" s="40">
        <v>34</v>
      </c>
      <c r="B36" s="36">
        <f t="shared" si="0"/>
        <v>0.15625000000000003</v>
      </c>
      <c r="C36" s="37">
        <v>2</v>
      </c>
      <c r="D36" s="38" t="str">
        <f t="array" ref="D36">IFERROR(INDEX(Fichier_initial,SMALL(IF(Id_Impression=$A36,ROW(Fichier_initial)-MIN(ROW(Fichier_initial))+1),COLUMNS($A36:A36))),"")</f>
        <v>leftPivMitV1</v>
      </c>
      <c r="E36" s="38" t="str">
        <f t="array" ref="E36">IFERROR(INDEX(Fichier_initial,SMALL(IF(Id_Impression=$A36,ROW(Fichier_initial)-MIN(ROW(Fichier_initial))+1),COLUMNS($A36:B36))),"")</f>
        <v>PivPotentioV2</v>
      </c>
      <c r="F36" s="38" t="str">
        <f t="array" ref="F36">IFERROR(INDEX(Fichier_initial,SMALL(IF(Id_Impression=$A36,ROW(Fichier_initial)-MIN(ROW(Fichier_initial))+1),COLUMNS($A36:C36))),"")</f>
        <v/>
      </c>
      <c r="G36" s="38" t="str">
        <f t="array" ref="G36">IFERROR(INDEX(Fichier_initial,SMALL(IF(Id_Impression=$A36,ROW(Fichier_initial)-MIN(ROW(Fichier_initial))+1),COLUMNS($A36:D36))),"")</f>
        <v/>
      </c>
      <c r="H36" s="38" t="str">
        <f t="array" ref="H36">IFERROR(INDEX(Fichier_initial,SMALL(IF(Id_Impression=$A36,ROW(Fichier_initial)-MIN(ROW(Fichier_initial))+1),COLUMNS($A36:E36))),"")</f>
        <v/>
      </c>
      <c r="I36" s="38" t="str">
        <f t="array" ref="I36">IFERROR(INDEX(Fichier_initial,SMALL(IF(Id_Impression=$A36,ROW(Fichier_initial)-MIN(ROW(Fichier_initial))+1),COLUMNS($A36:F36))),"")</f>
        <v/>
      </c>
      <c r="J36" s="38" t="str">
        <f t="array" ref="J36">IFERROR(INDEX(Fichier_initial,SMALL(IF(Id_Impression=$A36,ROW(Fichier_initial)-MIN(ROW(Fichier_initial))+1),COLUMNS($A36:G36))),"")</f>
        <v/>
      </c>
      <c r="K36" s="39">
        <f t="array" ref="K36">IFERROR(INDEX(Temps_Total,SMALL(IF(Id_Impression=$A36,ROW(Temps_Total)-MIN(ROW(Temps_Total))+1),COLUMNS($A$3:A36))),"")</f>
        <v>0.14305555555555557</v>
      </c>
      <c r="L36" s="39">
        <f t="array" ref="L36">IFERROR(INDEX(Temps_Total,SMALL(IF(Id_Impression=$A36,ROW(Temps_Total)-MIN(ROW(Temps_Total))+1),COLUMNS($A$3:B36))),"")</f>
        <v>1.3194444444444444E-2</v>
      </c>
      <c r="M36" s="39" t="str">
        <f t="array" ref="M36">IFERROR(INDEX(Temps_Total,SMALL(IF(Id_Impression=$A36,ROW(Temps_Total)-MIN(ROW(Temps_Total))+1),COLUMNS($A$3:C36))),"")</f>
        <v/>
      </c>
      <c r="N36" s="39" t="str">
        <f t="array" ref="N36">IFERROR(INDEX(Temps_Total,SMALL(IF(Id_Impression=$A36,ROW(Temps_Total)-MIN(ROW(Temps_Total))+1),COLUMNS($A$3:D36))),"")</f>
        <v/>
      </c>
      <c r="O36" s="39" t="str">
        <f t="array" ref="O36">IFERROR(INDEX(Temps_Total,SMALL(IF(Id_Impression=$A36,ROW(Temps_Total)-MIN(ROW(Temps_Total))+1),COLUMNS($A$3:E36))),"")</f>
        <v/>
      </c>
      <c r="P36" s="39" t="str">
        <f t="array" ref="P36">IFERROR(INDEX(Temps_Total,SMALL(IF(Id_Impression=$A36,ROW(Temps_Total)-MIN(ROW(Temps_Total))+1),COLUMNS($A$3:F36))),"")</f>
        <v/>
      </c>
      <c r="Q36" s="39" t="str">
        <f t="array" ref="Q36">IFERROR(INDEX(Temps_Total,SMALL(IF(Id_Impression=$A36,ROW(Temps_Total)-MIN(ROW(Temps_Total))+1),COLUMNS($A$3:G36))),"")</f>
        <v/>
      </c>
      <c r="R36" s="38">
        <f t="array" ref="R36">IFERROR(INDEX(Quantité_à_imprimer_12_2017,SMALL(IF(Id_Impression=$A36,ROW(Quantité_à_imprimer_12_2017)-MIN(ROW(Quantité_à_imprimer_12_2017))+1),COLUMNS($A$3:A36))),"")</f>
        <v>1</v>
      </c>
      <c r="S36" s="38">
        <f t="array" ref="S36">IFERROR(INDEX(Quantité_à_imprimer_12_2017,SMALL(IF(Id_Impression=$A36,ROW(Quantité_à_imprimer_12_2017)-MIN(ROW(Quantité_à_imprimer_12_2017))+1),COLUMNS($A$3:B36))),"")</f>
        <v>1</v>
      </c>
      <c r="T36" s="38" t="str">
        <f t="array" ref="T36">IFERROR(INDEX(Quantité_à_imprimer_12_2017,SMALL(IF(Id_Impression=$A36,ROW(Quantité_à_imprimer_12_2017)-MIN(ROW(Quantité_à_imprimer_12_2017))+1),COLUMNS($A$3:C36))),"")</f>
        <v/>
      </c>
      <c r="U36" s="38" t="str">
        <f t="array" ref="U36">IFERROR(INDEX(Quantité_à_imprimer_12_2017,SMALL(IF(Id_Impression=$A36,ROW(Quantité_à_imprimer_12_2017)-MIN(ROW(Quantité_à_imprimer_12_2017))+1),COLUMNS($A$3:D36))),"")</f>
        <v/>
      </c>
      <c r="V36" s="38" t="str">
        <f t="array" ref="V36">IFERROR(INDEX(Quantité_à_imprimer_12_2017,SMALL(IF(Id_Impression=$A36,ROW(Quantité_à_imprimer_12_2017)-MIN(ROW(Quantité_à_imprimer_12_2017))+1),COLUMNS($A$3:E36))),"")</f>
        <v/>
      </c>
      <c r="W36" s="38" t="str">
        <f t="array" ref="W36">IFERROR(INDEX(Quantité_à_imprimer_12_2017,SMALL(IF(Id_Impression=$A36,ROW(Quantité_à_imprimer_12_2017)-MIN(ROW(Quantité_à_imprimer_12_2017))+1),COLUMNS($A$3:F36))),"")</f>
        <v/>
      </c>
      <c r="X36" s="38" t="str">
        <f t="array" ref="X36">IFERROR(INDEX(Quantité_à_imprimer_12_2017,SMALL(IF(Id_Impression=$A36,ROW(Quantité_à_imprimer_12_2017)-MIN(ROW(Quantité_à_imprimer_12_2017))+1),COLUMNS($A$3:G36))),"")</f>
        <v/>
      </c>
    </row>
    <row r="37" spans="1:24" x14ac:dyDescent="0.55000000000000004">
      <c r="A37" s="40">
        <v>35</v>
      </c>
      <c r="B37" s="36">
        <f t="shared" si="0"/>
        <v>0.10208333333333335</v>
      </c>
      <c r="C37" s="37">
        <v>1</v>
      </c>
      <c r="D37" s="38" t="str">
        <f t="array" ref="D37">IFERROR(INDEX(Fichier_initial,SMALL(IF(Id_Impression=$A37,ROW(Fichier_initial)-MIN(ROW(Fichier_initial))+1),COLUMNS($A37:A37))),"")</f>
        <v>ClaviBackV2</v>
      </c>
      <c r="E37" s="38" t="str">
        <f t="array" ref="E37">IFERROR(INDEX(Fichier_initial,SMALL(IF(Id_Impression=$A37,ROW(Fichier_initial)-MIN(ROW(Fichier_initial))+1),COLUMNS($A37:B37))),"")</f>
        <v/>
      </c>
      <c r="F37" s="38" t="str">
        <f t="array" ref="F37">IFERROR(INDEX(Fichier_initial,SMALL(IF(Id_Impression=$A37,ROW(Fichier_initial)-MIN(ROW(Fichier_initial))+1),COLUMNS($A37:C37))),"")</f>
        <v/>
      </c>
      <c r="G37" s="38" t="str">
        <f t="array" ref="G37">IFERROR(INDEX(Fichier_initial,SMALL(IF(Id_Impression=$A37,ROW(Fichier_initial)-MIN(ROW(Fichier_initial))+1),COLUMNS($A37:D37))),"")</f>
        <v/>
      </c>
      <c r="H37" s="38" t="str">
        <f t="array" ref="H37">IFERROR(INDEX(Fichier_initial,SMALL(IF(Id_Impression=$A37,ROW(Fichier_initial)-MIN(ROW(Fichier_initial))+1),COLUMNS($A37:E37))),"")</f>
        <v/>
      </c>
      <c r="I37" s="38" t="str">
        <f t="array" ref="I37">IFERROR(INDEX(Fichier_initial,SMALL(IF(Id_Impression=$A37,ROW(Fichier_initial)-MIN(ROW(Fichier_initial))+1),COLUMNS($A37:F37))),"")</f>
        <v/>
      </c>
      <c r="J37" s="38" t="str">
        <f t="array" ref="J37">IFERROR(INDEX(Fichier_initial,SMALL(IF(Id_Impression=$A37,ROW(Fichier_initial)-MIN(ROW(Fichier_initial))+1),COLUMNS($A37:G37))),"")</f>
        <v/>
      </c>
      <c r="K37" s="39">
        <f t="array" ref="K37">IFERROR(INDEX(Temps_Total,SMALL(IF(Id_Impression=$A37,ROW(Temps_Total)-MIN(ROW(Temps_Total))+1),COLUMNS($A$3:A37))),"")</f>
        <v>0.10208333333333335</v>
      </c>
      <c r="L37" s="39" t="str">
        <f t="array" ref="L37">IFERROR(INDEX(Temps_Total,SMALL(IF(Id_Impression=$A37,ROW(Temps_Total)-MIN(ROW(Temps_Total))+1),COLUMNS($A$3:B37))),"")</f>
        <v/>
      </c>
      <c r="M37" s="39" t="str">
        <f t="array" ref="M37">IFERROR(INDEX(Temps_Total,SMALL(IF(Id_Impression=$A37,ROW(Temps_Total)-MIN(ROW(Temps_Total))+1),COLUMNS($A$3:C37))),"")</f>
        <v/>
      </c>
      <c r="N37" s="39" t="str">
        <f t="array" ref="N37">IFERROR(INDEX(Temps_Total,SMALL(IF(Id_Impression=$A37,ROW(Temps_Total)-MIN(ROW(Temps_Total))+1),COLUMNS($A$3:D37))),"")</f>
        <v/>
      </c>
      <c r="O37" s="39" t="str">
        <f t="array" ref="O37">IFERROR(INDEX(Temps_Total,SMALL(IF(Id_Impression=$A37,ROW(Temps_Total)-MIN(ROW(Temps_Total))+1),COLUMNS($A$3:E37))),"")</f>
        <v/>
      </c>
      <c r="P37" s="39" t="str">
        <f t="array" ref="P37">IFERROR(INDEX(Temps_Total,SMALL(IF(Id_Impression=$A37,ROW(Temps_Total)-MIN(ROW(Temps_Total))+1),COLUMNS($A$3:F37))),"")</f>
        <v/>
      </c>
      <c r="Q37" s="39" t="str">
        <f t="array" ref="Q37">IFERROR(INDEX(Temps_Total,SMALL(IF(Id_Impression=$A37,ROW(Temps_Total)-MIN(ROW(Temps_Total))+1),COLUMNS($A$3:G37))),"")</f>
        <v/>
      </c>
      <c r="R37" s="38">
        <f t="array" ref="R37">IFERROR(INDEX(Quantité_à_imprimer_12_2017,SMALL(IF(Id_Impression=$A37,ROW(Quantité_à_imprimer_12_2017)-MIN(ROW(Quantité_à_imprimer_12_2017))+1),COLUMNS($A$3:A37))),"")</f>
        <v>1</v>
      </c>
      <c r="S37" s="38" t="str">
        <f t="array" ref="S37">IFERROR(INDEX(Quantité_à_imprimer_12_2017,SMALL(IF(Id_Impression=$A37,ROW(Quantité_à_imprimer_12_2017)-MIN(ROW(Quantité_à_imprimer_12_2017))+1),COLUMNS($A$3:B37))),"")</f>
        <v/>
      </c>
      <c r="T37" s="38" t="str">
        <f t="array" ref="T37">IFERROR(INDEX(Quantité_à_imprimer_12_2017,SMALL(IF(Id_Impression=$A37,ROW(Quantité_à_imprimer_12_2017)-MIN(ROW(Quantité_à_imprimer_12_2017))+1),COLUMNS($A$3:C37))),"")</f>
        <v/>
      </c>
      <c r="U37" s="38" t="str">
        <f t="array" ref="U37">IFERROR(INDEX(Quantité_à_imprimer_12_2017,SMALL(IF(Id_Impression=$A37,ROW(Quantité_à_imprimer_12_2017)-MIN(ROW(Quantité_à_imprimer_12_2017))+1),COLUMNS($A$3:D37))),"")</f>
        <v/>
      </c>
      <c r="V37" s="38" t="str">
        <f t="array" ref="V37">IFERROR(INDEX(Quantité_à_imprimer_12_2017,SMALL(IF(Id_Impression=$A37,ROW(Quantité_à_imprimer_12_2017)-MIN(ROW(Quantité_à_imprimer_12_2017))+1),COLUMNS($A$3:E37))),"")</f>
        <v/>
      </c>
      <c r="W37" s="38" t="str">
        <f t="array" ref="W37">IFERROR(INDEX(Quantité_à_imprimer_12_2017,SMALL(IF(Id_Impression=$A37,ROW(Quantité_à_imprimer_12_2017)-MIN(ROW(Quantité_à_imprimer_12_2017))+1),COLUMNS($A$3:F37))),"")</f>
        <v/>
      </c>
      <c r="X37" s="38" t="str">
        <f t="array" ref="X37">IFERROR(INDEX(Quantité_à_imprimer_12_2017,SMALL(IF(Id_Impression=$A37,ROW(Quantité_à_imprimer_12_2017)-MIN(ROW(Quantité_à_imprimer_12_2017))+1),COLUMNS($A$3:G37))),"")</f>
        <v/>
      </c>
    </row>
    <row r="38" spans="1:24" x14ac:dyDescent="0.55000000000000004">
      <c r="A38" s="40">
        <v>36</v>
      </c>
      <c r="B38" s="36">
        <f t="shared" si="0"/>
        <v>0.11041666666666666</v>
      </c>
      <c r="C38" s="37">
        <v>1</v>
      </c>
      <c r="D38" s="38" t="str">
        <f t="array" ref="D38">IFERROR(INDEX(Fichier_initial,SMALL(IF(Id_Impression=$A38,ROW(Fichier_initial)-MIN(ROW(Fichier_initial))+1),COLUMNS($A38:A38))),"")</f>
        <v>ClaviFrontV2</v>
      </c>
      <c r="E38" s="38" t="str">
        <f t="array" ref="E38">IFERROR(INDEX(Fichier_initial,SMALL(IF(Id_Impression=$A38,ROW(Fichier_initial)-MIN(ROW(Fichier_initial))+1),COLUMNS($A38:B38))),"")</f>
        <v/>
      </c>
      <c r="F38" s="38" t="str">
        <f t="array" ref="F38">IFERROR(INDEX(Fichier_initial,SMALL(IF(Id_Impression=$A38,ROW(Fichier_initial)-MIN(ROW(Fichier_initial))+1),COLUMNS($A38:C38))),"")</f>
        <v/>
      </c>
      <c r="G38" s="38" t="str">
        <f t="array" ref="G38">IFERROR(INDEX(Fichier_initial,SMALL(IF(Id_Impression=$A38,ROW(Fichier_initial)-MIN(ROW(Fichier_initial))+1),COLUMNS($A38:D38))),"")</f>
        <v/>
      </c>
      <c r="H38" s="38" t="str">
        <f t="array" ref="H38">IFERROR(INDEX(Fichier_initial,SMALL(IF(Id_Impression=$A38,ROW(Fichier_initial)-MIN(ROW(Fichier_initial))+1),COLUMNS($A38:E38))),"")</f>
        <v/>
      </c>
      <c r="I38" s="38" t="str">
        <f t="array" ref="I38">IFERROR(INDEX(Fichier_initial,SMALL(IF(Id_Impression=$A38,ROW(Fichier_initial)-MIN(ROW(Fichier_initial))+1),COLUMNS($A38:F38))),"")</f>
        <v/>
      </c>
      <c r="J38" s="38" t="str">
        <f t="array" ref="J38">IFERROR(INDEX(Fichier_initial,SMALL(IF(Id_Impression=$A38,ROW(Fichier_initial)-MIN(ROW(Fichier_initial))+1),COLUMNS($A38:G38))),"")</f>
        <v/>
      </c>
      <c r="K38" s="39">
        <f t="array" ref="K38">IFERROR(INDEX(Temps_Total,SMALL(IF(Id_Impression=$A38,ROW(Temps_Total)-MIN(ROW(Temps_Total))+1),COLUMNS($A$3:A38))),"")</f>
        <v>0.11041666666666666</v>
      </c>
      <c r="L38" s="39" t="str">
        <f t="array" ref="L38">IFERROR(INDEX(Temps_Total,SMALL(IF(Id_Impression=$A38,ROW(Temps_Total)-MIN(ROW(Temps_Total))+1),COLUMNS($A$3:B38))),"")</f>
        <v/>
      </c>
      <c r="M38" s="39" t="str">
        <f t="array" ref="M38">IFERROR(INDEX(Temps_Total,SMALL(IF(Id_Impression=$A38,ROW(Temps_Total)-MIN(ROW(Temps_Total))+1),COLUMNS($A$3:C38))),"")</f>
        <v/>
      </c>
      <c r="N38" s="39" t="str">
        <f t="array" ref="N38">IFERROR(INDEX(Temps_Total,SMALL(IF(Id_Impression=$A38,ROW(Temps_Total)-MIN(ROW(Temps_Total))+1),COLUMNS($A$3:D38))),"")</f>
        <v/>
      </c>
      <c r="O38" s="39" t="str">
        <f t="array" ref="O38">IFERROR(INDEX(Temps_Total,SMALL(IF(Id_Impression=$A38,ROW(Temps_Total)-MIN(ROW(Temps_Total))+1),COLUMNS($A$3:E38))),"")</f>
        <v/>
      </c>
      <c r="P38" s="39" t="str">
        <f t="array" ref="P38">IFERROR(INDEX(Temps_Total,SMALL(IF(Id_Impression=$A38,ROW(Temps_Total)-MIN(ROW(Temps_Total))+1),COLUMNS($A$3:F38))),"")</f>
        <v/>
      </c>
      <c r="Q38" s="39" t="str">
        <f t="array" ref="Q38">IFERROR(INDEX(Temps_Total,SMALL(IF(Id_Impression=$A38,ROW(Temps_Total)-MIN(ROW(Temps_Total))+1),COLUMNS($A$3:G38))),"")</f>
        <v/>
      </c>
      <c r="R38" s="38">
        <f t="array" ref="R38">IFERROR(INDEX(Quantité_à_imprimer_12_2017,SMALL(IF(Id_Impression=$A38,ROW(Quantité_à_imprimer_12_2017)-MIN(ROW(Quantité_à_imprimer_12_2017))+1),COLUMNS($A$3:A38))),"")</f>
        <v>1</v>
      </c>
      <c r="S38" s="38" t="str">
        <f t="array" ref="S38">IFERROR(INDEX(Quantité_à_imprimer_12_2017,SMALL(IF(Id_Impression=$A38,ROW(Quantité_à_imprimer_12_2017)-MIN(ROW(Quantité_à_imprimer_12_2017))+1),COLUMNS($A$3:B38))),"")</f>
        <v/>
      </c>
      <c r="T38" s="38" t="str">
        <f t="array" ref="T38">IFERROR(INDEX(Quantité_à_imprimer_12_2017,SMALL(IF(Id_Impression=$A38,ROW(Quantité_à_imprimer_12_2017)-MIN(ROW(Quantité_à_imprimer_12_2017))+1),COLUMNS($A$3:C38))),"")</f>
        <v/>
      </c>
      <c r="U38" s="38" t="str">
        <f t="array" ref="U38">IFERROR(INDEX(Quantité_à_imprimer_12_2017,SMALL(IF(Id_Impression=$A38,ROW(Quantité_à_imprimer_12_2017)-MIN(ROW(Quantité_à_imprimer_12_2017))+1),COLUMNS($A$3:D38))),"")</f>
        <v/>
      </c>
      <c r="V38" s="38" t="str">
        <f t="array" ref="V38">IFERROR(INDEX(Quantité_à_imprimer_12_2017,SMALL(IF(Id_Impression=$A38,ROW(Quantité_à_imprimer_12_2017)-MIN(ROW(Quantité_à_imprimer_12_2017))+1),COLUMNS($A$3:E38))),"")</f>
        <v/>
      </c>
      <c r="W38" s="38" t="str">
        <f t="array" ref="W38">IFERROR(INDEX(Quantité_à_imprimer_12_2017,SMALL(IF(Id_Impression=$A38,ROW(Quantité_à_imprimer_12_2017)-MIN(ROW(Quantité_à_imprimer_12_2017))+1),COLUMNS($A$3:F38))),"")</f>
        <v/>
      </c>
      <c r="X38" s="38" t="str">
        <f t="array" ref="X38">IFERROR(INDEX(Quantité_à_imprimer_12_2017,SMALL(IF(Id_Impression=$A38,ROW(Quantité_à_imprimer_12_2017)-MIN(ROW(Quantité_à_imprimer_12_2017))+1),COLUMNS($A$3:G38))),"")</f>
        <v/>
      </c>
    </row>
    <row r="39" spans="1:24" x14ac:dyDescent="0.55000000000000004">
      <c r="A39" s="40">
        <v>37</v>
      </c>
      <c r="B39" s="36">
        <f t="shared" si="0"/>
        <v>0.14166666666666666</v>
      </c>
      <c r="C39" s="37">
        <v>1</v>
      </c>
      <c r="D39" s="38" t="str">
        <f t="array" ref="D39">IFERROR(INDEX(Fichier_initial,SMALL(IF(Id_Impression=$A39,ROW(Fichier_initial)-MIN(ROW(Fichier_initial))+1),COLUMNS($A39:A39))),"")</f>
        <v>PistonClaviV3</v>
      </c>
      <c r="E39" s="38" t="str">
        <f t="array" ref="E39">IFERROR(INDEX(Fichier_initial,SMALL(IF(Id_Impression=$A39,ROW(Fichier_initial)-MIN(ROW(Fichier_initial))+1),COLUMNS($A39:B39))),"")</f>
        <v/>
      </c>
      <c r="F39" s="38" t="str">
        <f t="array" ref="F39">IFERROR(INDEX(Fichier_initial,SMALL(IF(Id_Impression=$A39,ROW(Fichier_initial)-MIN(ROW(Fichier_initial))+1),COLUMNS($A39:C39))),"")</f>
        <v/>
      </c>
      <c r="G39" s="38" t="str">
        <f t="array" ref="G39">IFERROR(INDEX(Fichier_initial,SMALL(IF(Id_Impression=$A39,ROW(Fichier_initial)-MIN(ROW(Fichier_initial))+1),COLUMNS($A39:D39))),"")</f>
        <v/>
      </c>
      <c r="H39" s="38" t="str">
        <f t="array" ref="H39">IFERROR(INDEX(Fichier_initial,SMALL(IF(Id_Impression=$A39,ROW(Fichier_initial)-MIN(ROW(Fichier_initial))+1),COLUMNS($A39:E39))),"")</f>
        <v/>
      </c>
      <c r="I39" s="38" t="str">
        <f t="array" ref="I39">IFERROR(INDEX(Fichier_initial,SMALL(IF(Id_Impression=$A39,ROW(Fichier_initial)-MIN(ROW(Fichier_initial))+1),COLUMNS($A39:F39))),"")</f>
        <v/>
      </c>
      <c r="J39" s="38" t="str">
        <f t="array" ref="J39">IFERROR(INDEX(Fichier_initial,SMALL(IF(Id_Impression=$A39,ROW(Fichier_initial)-MIN(ROW(Fichier_initial))+1),COLUMNS($A39:G39))),"")</f>
        <v/>
      </c>
      <c r="K39" s="39">
        <f t="array" ref="K39">IFERROR(INDEX(Temps_Total,SMALL(IF(Id_Impression=$A39,ROW(Temps_Total)-MIN(ROW(Temps_Total))+1),COLUMNS($A$3:A39))),"")</f>
        <v>0.14166666666666666</v>
      </c>
      <c r="L39" s="39" t="str">
        <f t="array" ref="L39">IFERROR(INDEX(Temps_Total,SMALL(IF(Id_Impression=$A39,ROW(Temps_Total)-MIN(ROW(Temps_Total))+1),COLUMNS($A$3:B39))),"")</f>
        <v/>
      </c>
      <c r="M39" s="39" t="str">
        <f t="array" ref="M39">IFERROR(INDEX(Temps_Total,SMALL(IF(Id_Impression=$A39,ROW(Temps_Total)-MIN(ROW(Temps_Total))+1),COLUMNS($A$3:C39))),"")</f>
        <v/>
      </c>
      <c r="N39" s="39" t="str">
        <f t="array" ref="N39">IFERROR(INDEX(Temps_Total,SMALL(IF(Id_Impression=$A39,ROW(Temps_Total)-MIN(ROW(Temps_Total))+1),COLUMNS($A$3:D39))),"")</f>
        <v/>
      </c>
      <c r="O39" s="39" t="str">
        <f t="array" ref="O39">IFERROR(INDEX(Temps_Total,SMALL(IF(Id_Impression=$A39,ROW(Temps_Total)-MIN(ROW(Temps_Total))+1),COLUMNS($A$3:E39))),"")</f>
        <v/>
      </c>
      <c r="P39" s="39" t="str">
        <f t="array" ref="P39">IFERROR(INDEX(Temps_Total,SMALL(IF(Id_Impression=$A39,ROW(Temps_Total)-MIN(ROW(Temps_Total))+1),COLUMNS($A$3:F39))),"")</f>
        <v/>
      </c>
      <c r="Q39" s="39" t="str">
        <f t="array" ref="Q39">IFERROR(INDEX(Temps_Total,SMALL(IF(Id_Impression=$A39,ROW(Temps_Total)-MIN(ROW(Temps_Total))+1),COLUMNS($A$3:G39))),"")</f>
        <v/>
      </c>
      <c r="R39" s="38">
        <f t="array" ref="R39">IFERROR(INDEX(Quantité_à_imprimer_12_2017,SMALL(IF(Id_Impression=$A39,ROW(Quantité_à_imprimer_12_2017)-MIN(ROW(Quantité_à_imprimer_12_2017))+1),COLUMNS($A$3:A39))),"")</f>
        <v>1</v>
      </c>
      <c r="S39" s="38" t="str">
        <f t="array" ref="S39">IFERROR(INDEX(Quantité_à_imprimer_12_2017,SMALL(IF(Id_Impression=$A39,ROW(Quantité_à_imprimer_12_2017)-MIN(ROW(Quantité_à_imprimer_12_2017))+1),COLUMNS($A$3:B39))),"")</f>
        <v/>
      </c>
      <c r="T39" s="38" t="str">
        <f t="array" ref="T39">IFERROR(INDEX(Quantité_à_imprimer_12_2017,SMALL(IF(Id_Impression=$A39,ROW(Quantité_à_imprimer_12_2017)-MIN(ROW(Quantité_à_imprimer_12_2017))+1),COLUMNS($A$3:C39))),"")</f>
        <v/>
      </c>
      <c r="U39" s="38" t="str">
        <f t="array" ref="U39">IFERROR(INDEX(Quantité_à_imprimer_12_2017,SMALL(IF(Id_Impression=$A39,ROW(Quantité_à_imprimer_12_2017)-MIN(ROW(Quantité_à_imprimer_12_2017))+1),COLUMNS($A$3:D39))),"")</f>
        <v/>
      </c>
      <c r="V39" s="38" t="str">
        <f t="array" ref="V39">IFERROR(INDEX(Quantité_à_imprimer_12_2017,SMALL(IF(Id_Impression=$A39,ROW(Quantité_à_imprimer_12_2017)-MIN(ROW(Quantité_à_imprimer_12_2017))+1),COLUMNS($A$3:E39))),"")</f>
        <v/>
      </c>
      <c r="W39" s="38" t="str">
        <f t="array" ref="W39">IFERROR(INDEX(Quantité_à_imprimer_12_2017,SMALL(IF(Id_Impression=$A39,ROW(Quantité_à_imprimer_12_2017)-MIN(ROW(Quantité_à_imprimer_12_2017))+1),COLUMNS($A$3:F39))),"")</f>
        <v/>
      </c>
      <c r="X39" s="38" t="str">
        <f t="array" ref="X39">IFERROR(INDEX(Quantité_à_imprimer_12_2017,SMALL(IF(Id_Impression=$A39,ROW(Quantité_à_imprimer_12_2017)-MIN(ROW(Quantité_à_imprimer_12_2017))+1),COLUMNS($A$3:G39))),"")</f>
        <v/>
      </c>
    </row>
    <row r="40" spans="1:24" x14ac:dyDescent="0.55000000000000004">
      <c r="A40" s="40">
        <v>38</v>
      </c>
      <c r="B40" s="36">
        <f t="shared" si="0"/>
        <v>0.12083333333333333</v>
      </c>
      <c r="C40" s="37">
        <v>1</v>
      </c>
      <c r="D40" s="38" t="str">
        <f t="array" ref="D40">IFERROR(INDEX(Fichier_initial,SMALL(IF(Id_Impression=$A40,ROW(Fichier_initial)-MIN(ROW(Fichier_initial))+1),COLUMNS($A40:A40))),"")</f>
        <v>PivConnectorV1</v>
      </c>
      <c r="E40" s="38" t="str">
        <f t="array" ref="E40">IFERROR(INDEX(Fichier_initial,SMALL(IF(Id_Impression=$A40,ROW(Fichier_initial)-MIN(ROW(Fichier_initial))+1),COLUMNS($A40:B40))),"")</f>
        <v/>
      </c>
      <c r="F40" s="38" t="str">
        <f t="array" ref="F40">IFERROR(INDEX(Fichier_initial,SMALL(IF(Id_Impression=$A40,ROW(Fichier_initial)-MIN(ROW(Fichier_initial))+1),COLUMNS($A40:C40))),"")</f>
        <v/>
      </c>
      <c r="G40" s="38" t="str">
        <f t="array" ref="G40">IFERROR(INDEX(Fichier_initial,SMALL(IF(Id_Impression=$A40,ROW(Fichier_initial)-MIN(ROW(Fichier_initial))+1),COLUMNS($A40:D40))),"")</f>
        <v/>
      </c>
      <c r="H40" s="38" t="str">
        <f t="array" ref="H40">IFERROR(INDEX(Fichier_initial,SMALL(IF(Id_Impression=$A40,ROW(Fichier_initial)-MIN(ROW(Fichier_initial))+1),COLUMNS($A40:E40))),"")</f>
        <v/>
      </c>
      <c r="I40" s="38" t="str">
        <f t="array" ref="I40">IFERROR(INDEX(Fichier_initial,SMALL(IF(Id_Impression=$A40,ROW(Fichier_initial)-MIN(ROW(Fichier_initial))+1),COLUMNS($A40:F40))),"")</f>
        <v/>
      </c>
      <c r="J40" s="38" t="str">
        <f t="array" ref="J40">IFERROR(INDEX(Fichier_initial,SMALL(IF(Id_Impression=$A40,ROW(Fichier_initial)-MIN(ROW(Fichier_initial))+1),COLUMNS($A40:G40))),"")</f>
        <v/>
      </c>
      <c r="K40" s="39">
        <f t="array" ref="K40">IFERROR(INDEX(Temps_Total,SMALL(IF(Id_Impression=$A40,ROW(Temps_Total)-MIN(ROW(Temps_Total))+1),COLUMNS($A$3:A40))),"")</f>
        <v>0.12083333333333333</v>
      </c>
      <c r="L40" s="39" t="str">
        <f t="array" ref="L40">IFERROR(INDEX(Temps_Total,SMALL(IF(Id_Impression=$A40,ROW(Temps_Total)-MIN(ROW(Temps_Total))+1),COLUMNS($A$3:B40))),"")</f>
        <v/>
      </c>
      <c r="M40" s="39" t="str">
        <f t="array" ref="M40">IFERROR(INDEX(Temps_Total,SMALL(IF(Id_Impression=$A40,ROW(Temps_Total)-MIN(ROW(Temps_Total))+1),COLUMNS($A$3:C40))),"")</f>
        <v/>
      </c>
      <c r="N40" s="39" t="str">
        <f t="array" ref="N40">IFERROR(INDEX(Temps_Total,SMALL(IF(Id_Impression=$A40,ROW(Temps_Total)-MIN(ROW(Temps_Total))+1),COLUMNS($A$3:D40))),"")</f>
        <v/>
      </c>
      <c r="O40" s="39" t="str">
        <f t="array" ref="O40">IFERROR(INDEX(Temps_Total,SMALL(IF(Id_Impression=$A40,ROW(Temps_Total)-MIN(ROW(Temps_Total))+1),COLUMNS($A$3:E40))),"")</f>
        <v/>
      </c>
      <c r="P40" s="39" t="str">
        <f t="array" ref="P40">IFERROR(INDEX(Temps_Total,SMALL(IF(Id_Impression=$A40,ROW(Temps_Total)-MIN(ROW(Temps_Total))+1),COLUMNS($A$3:F40))),"")</f>
        <v/>
      </c>
      <c r="Q40" s="39" t="str">
        <f t="array" ref="Q40">IFERROR(INDEX(Temps_Total,SMALL(IF(Id_Impression=$A40,ROW(Temps_Total)-MIN(ROW(Temps_Total))+1),COLUMNS($A$3:G40))),"")</f>
        <v/>
      </c>
      <c r="R40" s="38">
        <f t="array" ref="R40">IFERROR(INDEX(Quantité_à_imprimer_12_2017,SMALL(IF(Id_Impression=$A40,ROW(Quantité_à_imprimer_12_2017)-MIN(ROW(Quantité_à_imprimer_12_2017))+1),COLUMNS($A$3:A40))),"")</f>
        <v>2</v>
      </c>
      <c r="S40" s="38" t="str">
        <f t="array" ref="S40">IFERROR(INDEX(Quantité_à_imprimer_12_2017,SMALL(IF(Id_Impression=$A40,ROW(Quantité_à_imprimer_12_2017)-MIN(ROW(Quantité_à_imprimer_12_2017))+1),COLUMNS($A$3:B40))),"")</f>
        <v/>
      </c>
      <c r="T40" s="38" t="str">
        <f t="array" ref="T40">IFERROR(INDEX(Quantité_à_imprimer_12_2017,SMALL(IF(Id_Impression=$A40,ROW(Quantité_à_imprimer_12_2017)-MIN(ROW(Quantité_à_imprimer_12_2017))+1),COLUMNS($A$3:C40))),"")</f>
        <v/>
      </c>
      <c r="U40" s="38" t="str">
        <f t="array" ref="U40">IFERROR(INDEX(Quantité_à_imprimer_12_2017,SMALL(IF(Id_Impression=$A40,ROW(Quantité_à_imprimer_12_2017)-MIN(ROW(Quantité_à_imprimer_12_2017))+1),COLUMNS($A$3:D40))),"")</f>
        <v/>
      </c>
      <c r="V40" s="38" t="str">
        <f t="array" ref="V40">IFERROR(INDEX(Quantité_à_imprimer_12_2017,SMALL(IF(Id_Impression=$A40,ROW(Quantité_à_imprimer_12_2017)-MIN(ROW(Quantité_à_imprimer_12_2017))+1),COLUMNS($A$3:E40))),"")</f>
        <v/>
      </c>
      <c r="W40" s="38" t="str">
        <f t="array" ref="W40">IFERROR(INDEX(Quantité_à_imprimer_12_2017,SMALL(IF(Id_Impression=$A40,ROW(Quantité_à_imprimer_12_2017)-MIN(ROW(Quantité_à_imprimer_12_2017))+1),COLUMNS($A$3:F40))),"")</f>
        <v/>
      </c>
      <c r="X40" s="38" t="str">
        <f t="array" ref="X40">IFERROR(INDEX(Quantité_à_imprimer_12_2017,SMALL(IF(Id_Impression=$A40,ROW(Quantité_à_imprimer_12_2017)-MIN(ROW(Quantité_à_imprimer_12_2017))+1),COLUMNS($A$3:G40))),"")</f>
        <v/>
      </c>
    </row>
    <row r="41" spans="1:24" x14ac:dyDescent="0.55000000000000004">
      <c r="A41" s="40">
        <v>39</v>
      </c>
      <c r="B41" s="36">
        <f t="shared" si="0"/>
        <v>0.13402777777777777</v>
      </c>
      <c r="C41" s="37">
        <v>1</v>
      </c>
      <c r="D41" s="38" t="str">
        <f t="array" ref="D41">IFERROR(INDEX(Fichier_initial,SMALL(IF(Id_Impression=$A41,ROW(Fichier_initial)-MIN(ROW(Fichier_initial))+1),COLUMNS($A41:A41))),"")</f>
        <v>PivGearV4</v>
      </c>
      <c r="E41" s="38" t="str">
        <f t="array" ref="E41">IFERROR(INDEX(Fichier_initial,SMALL(IF(Id_Impression=$A41,ROW(Fichier_initial)-MIN(ROW(Fichier_initial))+1),COLUMNS($A41:B41))),"")</f>
        <v/>
      </c>
      <c r="F41" s="38" t="str">
        <f t="array" ref="F41">IFERROR(INDEX(Fichier_initial,SMALL(IF(Id_Impression=$A41,ROW(Fichier_initial)-MIN(ROW(Fichier_initial))+1),COLUMNS($A41:C41))),"")</f>
        <v/>
      </c>
      <c r="G41" s="38" t="str">
        <f t="array" ref="G41">IFERROR(INDEX(Fichier_initial,SMALL(IF(Id_Impression=$A41,ROW(Fichier_initial)-MIN(ROW(Fichier_initial))+1),COLUMNS($A41:D41))),"")</f>
        <v/>
      </c>
      <c r="H41" s="38" t="str">
        <f t="array" ref="H41">IFERROR(INDEX(Fichier_initial,SMALL(IF(Id_Impression=$A41,ROW(Fichier_initial)-MIN(ROW(Fichier_initial))+1),COLUMNS($A41:E41))),"")</f>
        <v/>
      </c>
      <c r="I41" s="38" t="str">
        <f t="array" ref="I41">IFERROR(INDEX(Fichier_initial,SMALL(IF(Id_Impression=$A41,ROW(Fichier_initial)-MIN(ROW(Fichier_initial))+1),COLUMNS($A41:F41))),"")</f>
        <v/>
      </c>
      <c r="J41" s="38" t="str">
        <f t="array" ref="J41">IFERROR(INDEX(Fichier_initial,SMALL(IF(Id_Impression=$A41,ROW(Fichier_initial)-MIN(ROW(Fichier_initial))+1),COLUMNS($A41:G41))),"")</f>
        <v/>
      </c>
      <c r="K41" s="39">
        <f t="array" ref="K41">IFERROR(INDEX(Temps_Total,SMALL(IF(Id_Impression=$A41,ROW(Temps_Total)-MIN(ROW(Temps_Total))+1),COLUMNS($A$3:A41))),"")</f>
        <v>0.13402777777777777</v>
      </c>
      <c r="L41" s="39" t="str">
        <f t="array" ref="L41">IFERROR(INDEX(Temps_Total,SMALL(IF(Id_Impression=$A41,ROW(Temps_Total)-MIN(ROW(Temps_Total))+1),COLUMNS($A$3:B41))),"")</f>
        <v/>
      </c>
      <c r="M41" s="39" t="str">
        <f t="array" ref="M41">IFERROR(INDEX(Temps_Total,SMALL(IF(Id_Impression=$A41,ROW(Temps_Total)-MIN(ROW(Temps_Total))+1),COLUMNS($A$3:C41))),"")</f>
        <v/>
      </c>
      <c r="N41" s="39" t="str">
        <f t="array" ref="N41">IFERROR(INDEX(Temps_Total,SMALL(IF(Id_Impression=$A41,ROW(Temps_Total)-MIN(ROW(Temps_Total))+1),COLUMNS($A$3:D41))),"")</f>
        <v/>
      </c>
      <c r="O41" s="39" t="str">
        <f t="array" ref="O41">IFERROR(INDEX(Temps_Total,SMALL(IF(Id_Impression=$A41,ROW(Temps_Total)-MIN(ROW(Temps_Total))+1),COLUMNS($A$3:E41))),"")</f>
        <v/>
      </c>
      <c r="P41" s="39" t="str">
        <f t="array" ref="P41">IFERROR(INDEX(Temps_Total,SMALL(IF(Id_Impression=$A41,ROW(Temps_Total)-MIN(ROW(Temps_Total))+1),COLUMNS($A$3:F41))),"")</f>
        <v/>
      </c>
      <c r="Q41" s="39" t="str">
        <f t="array" ref="Q41">IFERROR(INDEX(Temps_Total,SMALL(IF(Id_Impression=$A41,ROW(Temps_Total)-MIN(ROW(Temps_Total))+1),COLUMNS($A$3:G41))),"")</f>
        <v/>
      </c>
      <c r="R41" s="38">
        <f t="array" ref="R41">IFERROR(INDEX(Quantité_à_imprimer_12_2017,SMALL(IF(Id_Impression=$A41,ROW(Quantité_à_imprimer_12_2017)-MIN(ROW(Quantité_à_imprimer_12_2017))+1),COLUMNS($A$3:A41))),"")</f>
        <v>1</v>
      </c>
      <c r="S41" s="38" t="str">
        <f t="array" ref="S41">IFERROR(INDEX(Quantité_à_imprimer_12_2017,SMALL(IF(Id_Impression=$A41,ROW(Quantité_à_imprimer_12_2017)-MIN(ROW(Quantité_à_imprimer_12_2017))+1),COLUMNS($A$3:B41))),"")</f>
        <v/>
      </c>
      <c r="T41" s="38" t="str">
        <f t="array" ref="T41">IFERROR(INDEX(Quantité_à_imprimer_12_2017,SMALL(IF(Id_Impression=$A41,ROW(Quantité_à_imprimer_12_2017)-MIN(ROW(Quantité_à_imprimer_12_2017))+1),COLUMNS($A$3:C41))),"")</f>
        <v/>
      </c>
      <c r="U41" s="38" t="str">
        <f t="array" ref="U41">IFERROR(INDEX(Quantité_à_imprimer_12_2017,SMALL(IF(Id_Impression=$A41,ROW(Quantité_à_imprimer_12_2017)-MIN(ROW(Quantité_à_imprimer_12_2017))+1),COLUMNS($A$3:D41))),"")</f>
        <v/>
      </c>
      <c r="V41" s="38" t="str">
        <f t="array" ref="V41">IFERROR(INDEX(Quantité_à_imprimer_12_2017,SMALL(IF(Id_Impression=$A41,ROW(Quantité_à_imprimer_12_2017)-MIN(ROW(Quantité_à_imprimer_12_2017))+1),COLUMNS($A$3:E41))),"")</f>
        <v/>
      </c>
      <c r="W41" s="38" t="str">
        <f t="array" ref="W41">IFERROR(INDEX(Quantité_à_imprimer_12_2017,SMALL(IF(Id_Impression=$A41,ROW(Quantité_à_imprimer_12_2017)-MIN(ROW(Quantité_à_imprimer_12_2017))+1),COLUMNS($A$3:F41))),"")</f>
        <v/>
      </c>
      <c r="X41" s="38" t="str">
        <f t="array" ref="X41">IFERROR(INDEX(Quantité_à_imprimer_12_2017,SMALL(IF(Id_Impression=$A41,ROW(Quantité_à_imprimer_12_2017)-MIN(ROW(Quantité_à_imprimer_12_2017))+1),COLUMNS($A$3:G41))),"")</f>
        <v/>
      </c>
    </row>
    <row r="42" spans="1:24" x14ac:dyDescent="0.55000000000000004">
      <c r="A42" s="40">
        <v>40</v>
      </c>
      <c r="B42" s="36">
        <f t="shared" si="0"/>
        <v>0.21249999999999999</v>
      </c>
      <c r="C42" s="37">
        <v>1</v>
      </c>
      <c r="D42" s="38" t="str">
        <f t="array" ref="D42">IFERROR(INDEX(Fichier_initial,SMALL(IF(Id_Impression=$A42,ROW(Fichier_initial)-MIN(ROW(Fichier_initial))+1),COLUMNS($A42:A42))),"")</f>
        <v>HomLowBack-V1</v>
      </c>
      <c r="E42" s="38" t="str">
        <f t="array" ref="E42">IFERROR(INDEX(Fichier_initial,SMALL(IF(Id_Impression=$A42,ROW(Fichier_initial)-MIN(ROW(Fichier_initial))+1),COLUMNS($A42:B42))),"")</f>
        <v/>
      </c>
      <c r="F42" s="38" t="str">
        <f t="array" ref="F42">IFERROR(INDEX(Fichier_initial,SMALL(IF(Id_Impression=$A42,ROW(Fichier_initial)-MIN(ROW(Fichier_initial))+1),COLUMNS($A42:C42))),"")</f>
        <v/>
      </c>
      <c r="G42" s="38" t="str">
        <f t="array" ref="G42">IFERROR(INDEX(Fichier_initial,SMALL(IF(Id_Impression=$A42,ROW(Fichier_initial)-MIN(ROW(Fichier_initial))+1),COLUMNS($A42:D42))),"")</f>
        <v/>
      </c>
      <c r="H42" s="38" t="str">
        <f t="array" ref="H42">IFERROR(INDEX(Fichier_initial,SMALL(IF(Id_Impression=$A42,ROW(Fichier_initial)-MIN(ROW(Fichier_initial))+1),COLUMNS($A42:E42))),"")</f>
        <v/>
      </c>
      <c r="I42" s="38" t="str">
        <f t="array" ref="I42">IFERROR(INDEX(Fichier_initial,SMALL(IF(Id_Impression=$A42,ROW(Fichier_initial)-MIN(ROW(Fichier_initial))+1),COLUMNS($A42:F42))),"")</f>
        <v/>
      </c>
      <c r="J42" s="38" t="str">
        <f t="array" ref="J42">IFERROR(INDEX(Fichier_initial,SMALL(IF(Id_Impression=$A42,ROW(Fichier_initial)-MIN(ROW(Fichier_initial))+1),COLUMNS($A42:G42))),"")</f>
        <v/>
      </c>
      <c r="K42" s="39">
        <f t="array" ref="K42">IFERROR(INDEX(Temps_Total,SMALL(IF(Id_Impression=$A42,ROW(Temps_Total)-MIN(ROW(Temps_Total))+1),COLUMNS($A$3:A42))),"")</f>
        <v>0.21249999999999999</v>
      </c>
      <c r="L42" s="39" t="str">
        <f t="array" ref="L42">IFERROR(INDEX(Temps_Total,SMALL(IF(Id_Impression=$A42,ROW(Temps_Total)-MIN(ROW(Temps_Total))+1),COLUMNS($A$3:B42))),"")</f>
        <v/>
      </c>
      <c r="M42" s="39" t="str">
        <f t="array" ref="M42">IFERROR(INDEX(Temps_Total,SMALL(IF(Id_Impression=$A42,ROW(Temps_Total)-MIN(ROW(Temps_Total))+1),COLUMNS($A$3:C42))),"")</f>
        <v/>
      </c>
      <c r="N42" s="39" t="str">
        <f t="array" ref="N42">IFERROR(INDEX(Temps_Total,SMALL(IF(Id_Impression=$A42,ROW(Temps_Total)-MIN(ROW(Temps_Total))+1),COLUMNS($A$3:D42))),"")</f>
        <v/>
      </c>
      <c r="O42" s="39" t="str">
        <f t="array" ref="O42">IFERROR(INDEX(Temps_Total,SMALL(IF(Id_Impression=$A42,ROW(Temps_Total)-MIN(ROW(Temps_Total))+1),COLUMNS($A$3:E42))),"")</f>
        <v/>
      </c>
      <c r="P42" s="39" t="str">
        <f t="array" ref="P42">IFERROR(INDEX(Temps_Total,SMALL(IF(Id_Impression=$A42,ROW(Temps_Total)-MIN(ROW(Temps_Total))+1),COLUMNS($A$3:F42))),"")</f>
        <v/>
      </c>
      <c r="Q42" s="39" t="str">
        <f t="array" ref="Q42">IFERROR(INDEX(Temps_Total,SMALL(IF(Id_Impression=$A42,ROW(Temps_Total)-MIN(ROW(Temps_Total))+1),COLUMNS($A$3:G42))),"")</f>
        <v/>
      </c>
      <c r="R42" s="38">
        <f t="array" ref="R42">IFERROR(INDEX(Quantité_à_imprimer_12_2017,SMALL(IF(Id_Impression=$A42,ROW(Quantité_à_imprimer_12_2017)-MIN(ROW(Quantité_à_imprimer_12_2017))+1),COLUMNS($A$3:A42))),"")</f>
        <v>2</v>
      </c>
      <c r="S42" s="38" t="str">
        <f t="array" ref="S42">IFERROR(INDEX(Quantité_à_imprimer_12_2017,SMALL(IF(Id_Impression=$A42,ROW(Quantité_à_imprimer_12_2017)-MIN(ROW(Quantité_à_imprimer_12_2017))+1),COLUMNS($A$3:B42))),"")</f>
        <v/>
      </c>
      <c r="T42" s="38" t="str">
        <f t="array" ref="T42">IFERROR(INDEX(Quantité_à_imprimer_12_2017,SMALL(IF(Id_Impression=$A42,ROW(Quantité_à_imprimer_12_2017)-MIN(ROW(Quantité_à_imprimer_12_2017))+1),COLUMNS($A$3:C42))),"")</f>
        <v/>
      </c>
      <c r="U42" s="38" t="str">
        <f t="array" ref="U42">IFERROR(INDEX(Quantité_à_imprimer_12_2017,SMALL(IF(Id_Impression=$A42,ROW(Quantité_à_imprimer_12_2017)-MIN(ROW(Quantité_à_imprimer_12_2017))+1),COLUMNS($A$3:D42))),"")</f>
        <v/>
      </c>
      <c r="V42" s="38" t="str">
        <f t="array" ref="V42">IFERROR(INDEX(Quantité_à_imprimer_12_2017,SMALL(IF(Id_Impression=$A42,ROW(Quantité_à_imprimer_12_2017)-MIN(ROW(Quantité_à_imprimer_12_2017))+1),COLUMNS($A$3:E42))),"")</f>
        <v/>
      </c>
      <c r="W42" s="38" t="str">
        <f t="array" ref="W42">IFERROR(INDEX(Quantité_à_imprimer_12_2017,SMALL(IF(Id_Impression=$A42,ROW(Quantité_à_imprimer_12_2017)-MIN(ROW(Quantité_à_imprimer_12_2017))+1),COLUMNS($A$3:F42))),"")</f>
        <v/>
      </c>
      <c r="X42" s="38" t="str">
        <f t="array" ref="X42">IFERROR(INDEX(Quantité_à_imprimer_12_2017,SMALL(IF(Id_Impression=$A42,ROW(Quantité_à_imprimer_12_2017)-MIN(ROW(Quantité_à_imprimer_12_2017))+1),COLUMNS($A$3:G42))),"")</f>
        <v/>
      </c>
    </row>
    <row r="43" spans="1:24" x14ac:dyDescent="0.55000000000000004">
      <c r="A43" s="40">
        <v>41</v>
      </c>
      <c r="B43" s="36">
        <f t="shared" si="0"/>
        <v>0.21111111111111111</v>
      </c>
      <c r="C43" s="37">
        <v>1</v>
      </c>
      <c r="D43" s="38" t="str">
        <f t="array" ref="D43">IFERROR(INDEX(Fichier_initial,SMALL(IF(Id_Impression=$A43,ROW(Fichier_initial)-MIN(ROW(Fichier_initial))+1),COLUMNS($A43:A43))),"")</f>
        <v>HomLowFront-V1</v>
      </c>
      <c r="E43" s="38" t="str">
        <f t="array" ref="E43">IFERROR(INDEX(Fichier_initial,SMALL(IF(Id_Impression=$A43,ROW(Fichier_initial)-MIN(ROW(Fichier_initial))+1),COLUMNS($A43:B43))),"")</f>
        <v/>
      </c>
      <c r="F43" s="38" t="str">
        <f t="array" ref="F43">IFERROR(INDEX(Fichier_initial,SMALL(IF(Id_Impression=$A43,ROW(Fichier_initial)-MIN(ROW(Fichier_initial))+1),COLUMNS($A43:C43))),"")</f>
        <v/>
      </c>
      <c r="G43" s="38" t="str">
        <f t="array" ref="G43">IFERROR(INDEX(Fichier_initial,SMALL(IF(Id_Impression=$A43,ROW(Fichier_initial)-MIN(ROW(Fichier_initial))+1),COLUMNS($A43:D43))),"")</f>
        <v/>
      </c>
      <c r="H43" s="38" t="str">
        <f t="array" ref="H43">IFERROR(INDEX(Fichier_initial,SMALL(IF(Id_Impression=$A43,ROW(Fichier_initial)-MIN(ROW(Fichier_initial))+1),COLUMNS($A43:E43))),"")</f>
        <v/>
      </c>
      <c r="I43" s="38" t="str">
        <f t="array" ref="I43">IFERROR(INDEX(Fichier_initial,SMALL(IF(Id_Impression=$A43,ROW(Fichier_initial)-MIN(ROW(Fichier_initial))+1),COLUMNS($A43:F43))),"")</f>
        <v/>
      </c>
      <c r="J43" s="38" t="str">
        <f t="array" ref="J43">IFERROR(INDEX(Fichier_initial,SMALL(IF(Id_Impression=$A43,ROW(Fichier_initial)-MIN(ROW(Fichier_initial))+1),COLUMNS($A43:G43))),"")</f>
        <v/>
      </c>
      <c r="K43" s="39">
        <f t="array" ref="K43">IFERROR(INDEX(Temps_Total,SMALL(IF(Id_Impression=$A43,ROW(Temps_Total)-MIN(ROW(Temps_Total))+1),COLUMNS($A$3:A43))),"")</f>
        <v>0.21111111111111111</v>
      </c>
      <c r="L43" s="39" t="str">
        <f t="array" ref="L43">IFERROR(INDEX(Temps_Total,SMALL(IF(Id_Impression=$A43,ROW(Temps_Total)-MIN(ROW(Temps_Total))+1),COLUMNS($A$3:B43))),"")</f>
        <v/>
      </c>
      <c r="M43" s="39" t="str">
        <f t="array" ref="M43">IFERROR(INDEX(Temps_Total,SMALL(IF(Id_Impression=$A43,ROW(Temps_Total)-MIN(ROW(Temps_Total))+1),COLUMNS($A$3:C43))),"")</f>
        <v/>
      </c>
      <c r="N43" s="39" t="str">
        <f t="array" ref="N43">IFERROR(INDEX(Temps_Total,SMALL(IF(Id_Impression=$A43,ROW(Temps_Total)-MIN(ROW(Temps_Total))+1),COLUMNS($A$3:D43))),"")</f>
        <v/>
      </c>
      <c r="O43" s="39" t="str">
        <f t="array" ref="O43">IFERROR(INDEX(Temps_Total,SMALL(IF(Id_Impression=$A43,ROW(Temps_Total)-MIN(ROW(Temps_Total))+1),COLUMNS($A$3:E43))),"")</f>
        <v/>
      </c>
      <c r="P43" s="39" t="str">
        <f t="array" ref="P43">IFERROR(INDEX(Temps_Total,SMALL(IF(Id_Impression=$A43,ROW(Temps_Total)-MIN(ROW(Temps_Total))+1),COLUMNS($A$3:F43))),"")</f>
        <v/>
      </c>
      <c r="Q43" s="39" t="str">
        <f t="array" ref="Q43">IFERROR(INDEX(Temps_Total,SMALL(IF(Id_Impression=$A43,ROW(Temps_Total)-MIN(ROW(Temps_Total))+1),COLUMNS($A$3:G43))),"")</f>
        <v/>
      </c>
      <c r="R43" s="38">
        <f t="array" ref="R43">IFERROR(INDEX(Quantité_à_imprimer_12_2017,SMALL(IF(Id_Impression=$A43,ROW(Quantité_à_imprimer_12_2017)-MIN(ROW(Quantité_à_imprimer_12_2017))+1),COLUMNS($A$3:A43))),"")</f>
        <v>2</v>
      </c>
      <c r="S43" s="38" t="str">
        <f t="array" ref="S43">IFERROR(INDEX(Quantité_à_imprimer_12_2017,SMALL(IF(Id_Impression=$A43,ROW(Quantité_à_imprimer_12_2017)-MIN(ROW(Quantité_à_imprimer_12_2017))+1),COLUMNS($A$3:B43))),"")</f>
        <v/>
      </c>
      <c r="T43" s="38" t="str">
        <f t="array" ref="T43">IFERROR(INDEX(Quantité_à_imprimer_12_2017,SMALL(IF(Id_Impression=$A43,ROW(Quantité_à_imprimer_12_2017)-MIN(ROW(Quantité_à_imprimer_12_2017))+1),COLUMNS($A$3:C43))),"")</f>
        <v/>
      </c>
      <c r="U43" s="38" t="str">
        <f t="array" ref="U43">IFERROR(INDEX(Quantité_à_imprimer_12_2017,SMALL(IF(Id_Impression=$A43,ROW(Quantité_à_imprimer_12_2017)-MIN(ROW(Quantité_à_imprimer_12_2017))+1),COLUMNS($A$3:D43))),"")</f>
        <v/>
      </c>
      <c r="V43" s="38" t="str">
        <f t="array" ref="V43">IFERROR(INDEX(Quantité_à_imprimer_12_2017,SMALL(IF(Id_Impression=$A43,ROW(Quantité_à_imprimer_12_2017)-MIN(ROW(Quantité_à_imprimer_12_2017))+1),COLUMNS($A$3:E43))),"")</f>
        <v/>
      </c>
      <c r="W43" s="38" t="str">
        <f t="array" ref="W43">IFERROR(INDEX(Quantité_à_imprimer_12_2017,SMALL(IF(Id_Impression=$A43,ROW(Quantité_à_imprimer_12_2017)-MIN(ROW(Quantité_à_imprimer_12_2017))+1),COLUMNS($A$3:F43))),"")</f>
        <v/>
      </c>
      <c r="X43" s="38" t="str">
        <f t="array" ref="X43">IFERROR(INDEX(Quantité_à_imprimer_12_2017,SMALL(IF(Id_Impression=$A43,ROW(Quantité_à_imprimer_12_2017)-MIN(ROW(Quantité_à_imprimer_12_2017))+1),COLUMNS($A$3:G43))),"")</f>
        <v/>
      </c>
    </row>
    <row r="44" spans="1:24" x14ac:dyDescent="0.55000000000000004">
      <c r="A44" s="40">
        <v>42</v>
      </c>
      <c r="B44" s="36">
        <f t="shared" si="0"/>
        <v>0.15277777777777779</v>
      </c>
      <c r="C44" s="37">
        <v>1</v>
      </c>
      <c r="D44" s="38" t="str">
        <f t="array" ref="D44">IFERROR(INDEX(Fichier_initial,SMALL(IF(Id_Impression=$A44,ROW(Fichier_initial)-MIN(ROW(Fichier_initial))+1),COLUMNS($A44:A44))),"")</f>
        <v>interKinectMidV1</v>
      </c>
      <c r="E44" s="38" t="str">
        <f t="array" ref="E44">IFERROR(INDEX(Fichier_initial,SMALL(IF(Id_Impression=$A44,ROW(Fichier_initial)-MIN(ROW(Fichier_initial))+1),COLUMNS($A44:B44))),"")</f>
        <v/>
      </c>
      <c r="F44" s="38" t="str">
        <f t="array" ref="F44">IFERROR(INDEX(Fichier_initial,SMALL(IF(Id_Impression=$A44,ROW(Fichier_initial)-MIN(ROW(Fichier_initial))+1),COLUMNS($A44:C44))),"")</f>
        <v/>
      </c>
      <c r="G44" s="38" t="str">
        <f t="array" ref="G44">IFERROR(INDEX(Fichier_initial,SMALL(IF(Id_Impression=$A44,ROW(Fichier_initial)-MIN(ROW(Fichier_initial))+1),COLUMNS($A44:D44))),"")</f>
        <v/>
      </c>
      <c r="H44" s="38" t="str">
        <f t="array" ref="H44">IFERROR(INDEX(Fichier_initial,SMALL(IF(Id_Impression=$A44,ROW(Fichier_initial)-MIN(ROW(Fichier_initial))+1),COLUMNS($A44:E44))),"")</f>
        <v/>
      </c>
      <c r="I44" s="38" t="str">
        <f t="array" ref="I44">IFERROR(INDEX(Fichier_initial,SMALL(IF(Id_Impression=$A44,ROW(Fichier_initial)-MIN(ROW(Fichier_initial))+1),COLUMNS($A44:F44))),"")</f>
        <v/>
      </c>
      <c r="J44" s="38" t="str">
        <f t="array" ref="J44">IFERROR(INDEX(Fichier_initial,SMALL(IF(Id_Impression=$A44,ROW(Fichier_initial)-MIN(ROW(Fichier_initial))+1),COLUMNS($A44:G44))),"")</f>
        <v/>
      </c>
      <c r="K44" s="39">
        <f t="array" ref="K44">IFERROR(INDEX(Temps_Total,SMALL(IF(Id_Impression=$A44,ROW(Temps_Total)-MIN(ROW(Temps_Total))+1),COLUMNS($A$3:A44))),"")</f>
        <v>0.15277777777777779</v>
      </c>
      <c r="L44" s="39" t="str">
        <f t="array" ref="L44">IFERROR(INDEX(Temps_Total,SMALL(IF(Id_Impression=$A44,ROW(Temps_Total)-MIN(ROW(Temps_Total))+1),COLUMNS($A$3:B44))),"")</f>
        <v/>
      </c>
      <c r="M44" s="39" t="str">
        <f t="array" ref="M44">IFERROR(INDEX(Temps_Total,SMALL(IF(Id_Impression=$A44,ROW(Temps_Total)-MIN(ROW(Temps_Total))+1),COLUMNS($A$3:C44))),"")</f>
        <v/>
      </c>
      <c r="N44" s="39" t="str">
        <f t="array" ref="N44">IFERROR(INDEX(Temps_Total,SMALL(IF(Id_Impression=$A44,ROW(Temps_Total)-MIN(ROW(Temps_Total))+1),COLUMNS($A$3:D44))),"")</f>
        <v/>
      </c>
      <c r="O44" s="39" t="str">
        <f t="array" ref="O44">IFERROR(INDEX(Temps_Total,SMALL(IF(Id_Impression=$A44,ROW(Temps_Total)-MIN(ROW(Temps_Total))+1),COLUMNS($A$3:E44))),"")</f>
        <v/>
      </c>
      <c r="P44" s="39" t="str">
        <f t="array" ref="P44">IFERROR(INDEX(Temps_Total,SMALL(IF(Id_Impression=$A44,ROW(Temps_Total)-MIN(ROW(Temps_Total))+1),COLUMNS($A$3:F44))),"")</f>
        <v/>
      </c>
      <c r="Q44" s="39" t="str">
        <f t="array" ref="Q44">IFERROR(INDEX(Temps_Total,SMALL(IF(Id_Impression=$A44,ROW(Temps_Total)-MIN(ROW(Temps_Total))+1),COLUMNS($A$3:G44))),"")</f>
        <v/>
      </c>
      <c r="R44" s="38">
        <f t="array" ref="R44">IFERROR(INDEX(Quantité_à_imprimer_12_2017,SMALL(IF(Id_Impression=$A44,ROW(Quantité_à_imprimer_12_2017)-MIN(ROW(Quantité_à_imprimer_12_2017))+1),COLUMNS($A$3:A44))),"")</f>
        <v>2</v>
      </c>
      <c r="S44" s="38" t="str">
        <f t="array" ref="S44">IFERROR(INDEX(Quantité_à_imprimer_12_2017,SMALL(IF(Id_Impression=$A44,ROW(Quantité_à_imprimer_12_2017)-MIN(ROW(Quantité_à_imprimer_12_2017))+1),COLUMNS($A$3:B44))),"")</f>
        <v/>
      </c>
      <c r="T44" s="38" t="str">
        <f t="array" ref="T44">IFERROR(INDEX(Quantité_à_imprimer_12_2017,SMALL(IF(Id_Impression=$A44,ROW(Quantité_à_imprimer_12_2017)-MIN(ROW(Quantité_à_imprimer_12_2017))+1),COLUMNS($A$3:C44))),"")</f>
        <v/>
      </c>
      <c r="U44" s="38" t="str">
        <f t="array" ref="U44">IFERROR(INDEX(Quantité_à_imprimer_12_2017,SMALL(IF(Id_Impression=$A44,ROW(Quantité_à_imprimer_12_2017)-MIN(ROW(Quantité_à_imprimer_12_2017))+1),COLUMNS($A$3:D44))),"")</f>
        <v/>
      </c>
      <c r="V44" s="38" t="str">
        <f t="array" ref="V44">IFERROR(INDEX(Quantité_à_imprimer_12_2017,SMALL(IF(Id_Impression=$A44,ROW(Quantité_à_imprimer_12_2017)-MIN(ROW(Quantité_à_imprimer_12_2017))+1),COLUMNS($A$3:E44))),"")</f>
        <v/>
      </c>
      <c r="W44" s="38" t="str">
        <f t="array" ref="W44">IFERROR(INDEX(Quantité_à_imprimer_12_2017,SMALL(IF(Id_Impression=$A44,ROW(Quantité_à_imprimer_12_2017)-MIN(ROW(Quantité_à_imprimer_12_2017))+1),COLUMNS($A$3:F44))),"")</f>
        <v/>
      </c>
      <c r="X44" s="38" t="str">
        <f t="array" ref="X44">IFERROR(INDEX(Quantité_à_imprimer_12_2017,SMALL(IF(Id_Impression=$A44,ROW(Quantité_à_imprimer_12_2017)-MIN(ROW(Quantité_à_imprimer_12_2017))+1),COLUMNS($A$3:G44))),"")</f>
        <v/>
      </c>
    </row>
    <row r="45" spans="1:24" x14ac:dyDescent="0.55000000000000004">
      <c r="A45" s="40">
        <v>43</v>
      </c>
      <c r="B45" s="36">
        <f t="shared" si="0"/>
        <v>0.29166666666666669</v>
      </c>
      <c r="C45" s="37">
        <v>1</v>
      </c>
      <c r="D45" s="38" t="str">
        <f t="array" ref="D45">IFERROR(INDEX(Fichier_initial,SMALL(IF(Id_Impression=$A45,ROW(Fichier_initial)-MIN(ROW(Fichier_initial))+1),COLUMNS($A45:A45))),"")</f>
        <v>KinectSideBackV1</v>
      </c>
      <c r="E45" s="38" t="str">
        <f t="array" ref="E45">IFERROR(INDEX(Fichier_initial,SMALL(IF(Id_Impression=$A45,ROW(Fichier_initial)-MIN(ROW(Fichier_initial))+1),COLUMNS($A45:B45))),"")</f>
        <v/>
      </c>
      <c r="F45" s="38" t="str">
        <f t="array" ref="F45">IFERROR(INDEX(Fichier_initial,SMALL(IF(Id_Impression=$A45,ROW(Fichier_initial)-MIN(ROW(Fichier_initial))+1),COLUMNS($A45:C45))),"")</f>
        <v/>
      </c>
      <c r="G45" s="38" t="str">
        <f t="array" ref="G45">IFERROR(INDEX(Fichier_initial,SMALL(IF(Id_Impression=$A45,ROW(Fichier_initial)-MIN(ROW(Fichier_initial))+1),COLUMNS($A45:D45))),"")</f>
        <v/>
      </c>
      <c r="H45" s="38" t="str">
        <f t="array" ref="H45">IFERROR(INDEX(Fichier_initial,SMALL(IF(Id_Impression=$A45,ROW(Fichier_initial)-MIN(ROW(Fichier_initial))+1),COLUMNS($A45:E45))),"")</f>
        <v/>
      </c>
      <c r="I45" s="38" t="str">
        <f t="array" ref="I45">IFERROR(INDEX(Fichier_initial,SMALL(IF(Id_Impression=$A45,ROW(Fichier_initial)-MIN(ROW(Fichier_initial))+1),COLUMNS($A45:F45))),"")</f>
        <v/>
      </c>
      <c r="J45" s="38" t="str">
        <f t="array" ref="J45">IFERROR(INDEX(Fichier_initial,SMALL(IF(Id_Impression=$A45,ROW(Fichier_initial)-MIN(ROW(Fichier_initial))+1),COLUMNS($A45:G45))),"")</f>
        <v/>
      </c>
      <c r="K45" s="39">
        <f t="array" ref="K45">IFERROR(INDEX(Temps_Total,SMALL(IF(Id_Impression=$A45,ROW(Temps_Total)-MIN(ROW(Temps_Total))+1),COLUMNS($A$3:A45))),"")</f>
        <v>0.29166666666666669</v>
      </c>
      <c r="L45" s="39" t="str">
        <f t="array" ref="L45">IFERROR(INDEX(Temps_Total,SMALL(IF(Id_Impression=$A45,ROW(Temps_Total)-MIN(ROW(Temps_Total))+1),COLUMNS($A$3:B45))),"")</f>
        <v/>
      </c>
      <c r="M45" s="39" t="str">
        <f t="array" ref="M45">IFERROR(INDEX(Temps_Total,SMALL(IF(Id_Impression=$A45,ROW(Temps_Total)-MIN(ROW(Temps_Total))+1),COLUMNS($A$3:C45))),"")</f>
        <v/>
      </c>
      <c r="N45" s="39" t="str">
        <f t="array" ref="N45">IFERROR(INDEX(Temps_Total,SMALL(IF(Id_Impression=$A45,ROW(Temps_Total)-MIN(ROW(Temps_Total))+1),COLUMNS($A$3:D45))),"")</f>
        <v/>
      </c>
      <c r="O45" s="39" t="str">
        <f t="array" ref="O45">IFERROR(INDEX(Temps_Total,SMALL(IF(Id_Impression=$A45,ROW(Temps_Total)-MIN(ROW(Temps_Total))+1),COLUMNS($A$3:E45))),"")</f>
        <v/>
      </c>
      <c r="P45" s="39" t="str">
        <f t="array" ref="P45">IFERROR(INDEX(Temps_Total,SMALL(IF(Id_Impression=$A45,ROW(Temps_Total)-MIN(ROW(Temps_Total))+1),COLUMNS($A$3:F45))),"")</f>
        <v/>
      </c>
      <c r="Q45" s="39" t="str">
        <f t="array" ref="Q45">IFERROR(INDEX(Temps_Total,SMALL(IF(Id_Impression=$A45,ROW(Temps_Total)-MIN(ROW(Temps_Total))+1),COLUMNS($A$3:G45))),"")</f>
        <v/>
      </c>
      <c r="R45" s="38">
        <f t="array" ref="R45">IFERROR(INDEX(Quantité_à_imprimer_12_2017,SMALL(IF(Id_Impression=$A45,ROW(Quantité_à_imprimer_12_2017)-MIN(ROW(Quantité_à_imprimer_12_2017))+1),COLUMNS($A$3:A45))),"")</f>
        <v>2</v>
      </c>
      <c r="S45" s="38" t="str">
        <f t="array" ref="S45">IFERROR(INDEX(Quantité_à_imprimer_12_2017,SMALL(IF(Id_Impression=$A45,ROW(Quantité_à_imprimer_12_2017)-MIN(ROW(Quantité_à_imprimer_12_2017))+1),COLUMNS($A$3:B45))),"")</f>
        <v/>
      </c>
      <c r="T45" s="38" t="str">
        <f t="array" ref="T45">IFERROR(INDEX(Quantité_à_imprimer_12_2017,SMALL(IF(Id_Impression=$A45,ROW(Quantité_à_imprimer_12_2017)-MIN(ROW(Quantité_à_imprimer_12_2017))+1),COLUMNS($A$3:C45))),"")</f>
        <v/>
      </c>
      <c r="U45" s="38" t="str">
        <f t="array" ref="U45">IFERROR(INDEX(Quantité_à_imprimer_12_2017,SMALL(IF(Id_Impression=$A45,ROW(Quantité_à_imprimer_12_2017)-MIN(ROW(Quantité_à_imprimer_12_2017))+1),COLUMNS($A$3:D45))),"")</f>
        <v/>
      </c>
      <c r="V45" s="38" t="str">
        <f t="array" ref="V45">IFERROR(INDEX(Quantité_à_imprimer_12_2017,SMALL(IF(Id_Impression=$A45,ROW(Quantité_à_imprimer_12_2017)-MIN(ROW(Quantité_à_imprimer_12_2017))+1),COLUMNS($A$3:E45))),"")</f>
        <v/>
      </c>
      <c r="W45" s="38" t="str">
        <f t="array" ref="W45">IFERROR(INDEX(Quantité_à_imprimer_12_2017,SMALL(IF(Id_Impression=$A45,ROW(Quantité_à_imprimer_12_2017)-MIN(ROW(Quantité_à_imprimer_12_2017))+1),COLUMNS($A$3:F45))),"")</f>
        <v/>
      </c>
      <c r="X45" s="38" t="str">
        <f t="array" ref="X45">IFERROR(INDEX(Quantité_à_imprimer_12_2017,SMALL(IF(Id_Impression=$A45,ROW(Quantité_à_imprimer_12_2017)-MIN(ROW(Quantité_à_imprimer_12_2017))+1),COLUMNS($A$3:G45))),"")</f>
        <v/>
      </c>
    </row>
    <row r="46" spans="1:24" x14ac:dyDescent="0.55000000000000004">
      <c r="A46" s="40">
        <v>44</v>
      </c>
      <c r="B46" s="36">
        <f t="shared" si="0"/>
        <v>0.22638888888888889</v>
      </c>
      <c r="C46" s="37">
        <v>1</v>
      </c>
      <c r="D46" s="38" t="str">
        <f t="array" ref="D46">IFERROR(INDEX(Fichier_initial,SMALL(IF(Id_Impression=$A46,ROW(Fichier_initial)-MIN(ROW(Fichier_initial))+1),COLUMNS($A46:A46))),"")</f>
        <v>KinectSideHolderV1</v>
      </c>
      <c r="E46" s="38" t="str">
        <f t="array" ref="E46">IFERROR(INDEX(Fichier_initial,SMALL(IF(Id_Impression=$A46,ROW(Fichier_initial)-MIN(ROW(Fichier_initial))+1),COLUMNS($A46:B46))),"")</f>
        <v/>
      </c>
      <c r="F46" s="38" t="str">
        <f t="array" ref="F46">IFERROR(INDEX(Fichier_initial,SMALL(IF(Id_Impression=$A46,ROW(Fichier_initial)-MIN(ROW(Fichier_initial))+1),COLUMNS($A46:C46))),"")</f>
        <v/>
      </c>
      <c r="G46" s="38" t="str">
        <f t="array" ref="G46">IFERROR(INDEX(Fichier_initial,SMALL(IF(Id_Impression=$A46,ROW(Fichier_initial)-MIN(ROW(Fichier_initial))+1),COLUMNS($A46:D46))),"")</f>
        <v/>
      </c>
      <c r="H46" s="38" t="str">
        <f t="array" ref="H46">IFERROR(INDEX(Fichier_initial,SMALL(IF(Id_Impression=$A46,ROW(Fichier_initial)-MIN(ROW(Fichier_initial))+1),COLUMNS($A46:E46))),"")</f>
        <v/>
      </c>
      <c r="I46" s="38" t="str">
        <f t="array" ref="I46">IFERROR(INDEX(Fichier_initial,SMALL(IF(Id_Impression=$A46,ROW(Fichier_initial)-MIN(ROW(Fichier_initial))+1),COLUMNS($A46:F46))),"")</f>
        <v/>
      </c>
      <c r="J46" s="38" t="str">
        <f t="array" ref="J46">IFERROR(INDEX(Fichier_initial,SMALL(IF(Id_Impression=$A46,ROW(Fichier_initial)-MIN(ROW(Fichier_initial))+1),COLUMNS($A46:G46))),"")</f>
        <v/>
      </c>
      <c r="K46" s="39">
        <f t="array" ref="K46">IFERROR(INDEX(Temps_Total,SMALL(IF(Id_Impression=$A46,ROW(Temps_Total)-MIN(ROW(Temps_Total))+1),COLUMNS($A$3:A46))),"")</f>
        <v>0.22638888888888889</v>
      </c>
      <c r="L46" s="39" t="str">
        <f t="array" ref="L46">IFERROR(INDEX(Temps_Total,SMALL(IF(Id_Impression=$A46,ROW(Temps_Total)-MIN(ROW(Temps_Total))+1),COLUMNS($A$3:B46))),"")</f>
        <v/>
      </c>
      <c r="M46" s="39" t="str">
        <f t="array" ref="M46">IFERROR(INDEX(Temps_Total,SMALL(IF(Id_Impression=$A46,ROW(Temps_Total)-MIN(ROW(Temps_Total))+1),COLUMNS($A$3:C46))),"")</f>
        <v/>
      </c>
      <c r="N46" s="39" t="str">
        <f t="array" ref="N46">IFERROR(INDEX(Temps_Total,SMALL(IF(Id_Impression=$A46,ROW(Temps_Total)-MIN(ROW(Temps_Total))+1),COLUMNS($A$3:D46))),"")</f>
        <v/>
      </c>
      <c r="O46" s="39" t="str">
        <f t="array" ref="O46">IFERROR(INDEX(Temps_Total,SMALL(IF(Id_Impression=$A46,ROW(Temps_Total)-MIN(ROW(Temps_Total))+1),COLUMNS($A$3:E46))),"")</f>
        <v/>
      </c>
      <c r="P46" s="39" t="str">
        <f t="array" ref="P46">IFERROR(INDEX(Temps_Total,SMALL(IF(Id_Impression=$A46,ROW(Temps_Total)-MIN(ROW(Temps_Total))+1),COLUMNS($A$3:F46))),"")</f>
        <v/>
      </c>
      <c r="Q46" s="39" t="str">
        <f t="array" ref="Q46">IFERROR(INDEX(Temps_Total,SMALL(IF(Id_Impression=$A46,ROW(Temps_Total)-MIN(ROW(Temps_Total))+1),COLUMNS($A$3:G46))),"")</f>
        <v/>
      </c>
      <c r="R46" s="38">
        <f t="array" ref="R46">IFERROR(INDEX(Quantité_à_imprimer_12_2017,SMALL(IF(Id_Impression=$A46,ROW(Quantité_à_imprimer_12_2017)-MIN(ROW(Quantité_à_imprimer_12_2017))+1),COLUMNS($A$3:A46))),"")</f>
        <v>2</v>
      </c>
      <c r="S46" s="38" t="str">
        <f t="array" ref="S46">IFERROR(INDEX(Quantité_à_imprimer_12_2017,SMALL(IF(Id_Impression=$A46,ROW(Quantité_à_imprimer_12_2017)-MIN(ROW(Quantité_à_imprimer_12_2017))+1),COLUMNS($A$3:B46))),"")</f>
        <v/>
      </c>
      <c r="T46" s="38" t="str">
        <f t="array" ref="T46">IFERROR(INDEX(Quantité_à_imprimer_12_2017,SMALL(IF(Id_Impression=$A46,ROW(Quantité_à_imprimer_12_2017)-MIN(ROW(Quantité_à_imprimer_12_2017))+1),COLUMNS($A$3:C46))),"")</f>
        <v/>
      </c>
      <c r="U46" s="38" t="str">
        <f t="array" ref="U46">IFERROR(INDEX(Quantité_à_imprimer_12_2017,SMALL(IF(Id_Impression=$A46,ROW(Quantité_à_imprimer_12_2017)-MIN(ROW(Quantité_à_imprimer_12_2017))+1),COLUMNS($A$3:D46))),"")</f>
        <v/>
      </c>
      <c r="V46" s="38" t="str">
        <f t="array" ref="V46">IFERROR(INDEX(Quantité_à_imprimer_12_2017,SMALL(IF(Id_Impression=$A46,ROW(Quantité_à_imprimer_12_2017)-MIN(ROW(Quantité_à_imprimer_12_2017))+1),COLUMNS($A$3:E46))),"")</f>
        <v/>
      </c>
      <c r="W46" s="38" t="str">
        <f t="array" ref="W46">IFERROR(INDEX(Quantité_à_imprimer_12_2017,SMALL(IF(Id_Impression=$A46,ROW(Quantité_à_imprimer_12_2017)-MIN(ROW(Quantité_à_imprimer_12_2017))+1),COLUMNS($A$3:F46))),"")</f>
        <v/>
      </c>
      <c r="X46" s="38" t="str">
        <f t="array" ref="X46">IFERROR(INDEX(Quantité_à_imprimer_12_2017,SMALL(IF(Id_Impression=$A46,ROW(Quantité_à_imprimer_12_2017)-MIN(ROW(Quantité_à_imprimer_12_2017))+1),COLUMNS($A$3:G46))),"")</f>
        <v/>
      </c>
    </row>
    <row r="47" spans="1:24" x14ac:dyDescent="0.55000000000000004">
      <c r="A47" s="40">
        <v>45</v>
      </c>
      <c r="B47" s="36">
        <f t="shared" si="0"/>
        <v>0.15555555555555556</v>
      </c>
      <c r="C47" s="37">
        <v>2</v>
      </c>
      <c r="D47" s="38" t="str">
        <f t="array" ref="D47">IFERROR(INDEX(Fichier_initial,SMALL(IF(Id_Impression=$A47,ROW(Fichier_initial)-MIN(ROW(Fichier_initial))+1),COLUMNS($A47:A47))),"")</f>
        <v>homplateback+V1</v>
      </c>
      <c r="E47" s="38" t="str">
        <f t="array" ref="E47">IFERROR(INDEX(Fichier_initial,SMALL(IF(Id_Impression=$A47,ROW(Fichier_initial)-MIN(ROW(Fichier_initial))+1),COLUMNS($A47:B47))),"")</f>
        <v>homplatebacklow+V1</v>
      </c>
      <c r="F47" s="38" t="str">
        <f t="array" ref="F47">IFERROR(INDEX(Fichier_initial,SMALL(IF(Id_Impression=$A47,ROW(Fichier_initial)-MIN(ROW(Fichier_initial))+1),COLUMNS($A47:C47))),"")</f>
        <v/>
      </c>
      <c r="G47" s="38" t="str">
        <f t="array" ref="G47">IFERROR(INDEX(Fichier_initial,SMALL(IF(Id_Impression=$A47,ROW(Fichier_initial)-MIN(ROW(Fichier_initial))+1),COLUMNS($A47:D47))),"")</f>
        <v/>
      </c>
      <c r="H47" s="38" t="str">
        <f t="array" ref="H47">IFERROR(INDEX(Fichier_initial,SMALL(IF(Id_Impression=$A47,ROW(Fichier_initial)-MIN(ROW(Fichier_initial))+1),COLUMNS($A47:E47))),"")</f>
        <v/>
      </c>
      <c r="I47" s="38" t="str">
        <f t="array" ref="I47">IFERROR(INDEX(Fichier_initial,SMALL(IF(Id_Impression=$A47,ROW(Fichier_initial)-MIN(ROW(Fichier_initial))+1),COLUMNS($A47:F47))),"")</f>
        <v/>
      </c>
      <c r="J47" s="38" t="str">
        <f t="array" ref="J47">IFERROR(INDEX(Fichier_initial,SMALL(IF(Id_Impression=$A47,ROW(Fichier_initial)-MIN(ROW(Fichier_initial))+1),COLUMNS($A47:G47))),"")</f>
        <v/>
      </c>
      <c r="K47" s="39">
        <f t="array" ref="K47">IFERROR(INDEX(Temps_Total,SMALL(IF(Id_Impression=$A47,ROW(Temps_Total)-MIN(ROW(Temps_Total))+1),COLUMNS($A$3:A47))),"")</f>
        <v>8.1250000000000003E-2</v>
      </c>
      <c r="L47" s="39">
        <f t="array" ref="L47">IFERROR(INDEX(Temps_Total,SMALL(IF(Id_Impression=$A47,ROW(Temps_Total)-MIN(ROW(Temps_Total))+1),COLUMNS($A$3:B47))),"")</f>
        <v>7.4305555555555555E-2</v>
      </c>
      <c r="M47" s="39" t="str">
        <f t="array" ref="M47">IFERROR(INDEX(Temps_Total,SMALL(IF(Id_Impression=$A47,ROW(Temps_Total)-MIN(ROW(Temps_Total))+1),COLUMNS($A$3:C47))),"")</f>
        <v/>
      </c>
      <c r="N47" s="39" t="str">
        <f t="array" ref="N47">IFERROR(INDEX(Temps_Total,SMALL(IF(Id_Impression=$A47,ROW(Temps_Total)-MIN(ROW(Temps_Total))+1),COLUMNS($A$3:D47))),"")</f>
        <v/>
      </c>
      <c r="O47" s="39" t="str">
        <f t="array" ref="O47">IFERROR(INDEX(Temps_Total,SMALL(IF(Id_Impression=$A47,ROW(Temps_Total)-MIN(ROW(Temps_Total))+1),COLUMNS($A$3:E47))),"")</f>
        <v/>
      </c>
      <c r="P47" s="39" t="str">
        <f t="array" ref="P47">IFERROR(INDEX(Temps_Total,SMALL(IF(Id_Impression=$A47,ROW(Temps_Total)-MIN(ROW(Temps_Total))+1),COLUMNS($A$3:F47))),"")</f>
        <v/>
      </c>
      <c r="Q47" s="39" t="str">
        <f t="array" ref="Q47">IFERROR(INDEX(Temps_Total,SMALL(IF(Id_Impression=$A47,ROW(Temps_Total)-MIN(ROW(Temps_Total))+1),COLUMNS($A$3:G47))),"")</f>
        <v/>
      </c>
      <c r="R47" s="38">
        <f t="array" ref="R47">IFERROR(INDEX(Quantité_à_imprimer_12_2017,SMALL(IF(Id_Impression=$A47,ROW(Quantité_à_imprimer_12_2017)-MIN(ROW(Quantité_à_imprimer_12_2017))+1),COLUMNS($A$3:A47))),"")</f>
        <v>1</v>
      </c>
      <c r="S47" s="38">
        <f t="array" ref="S47">IFERROR(INDEX(Quantité_à_imprimer_12_2017,SMALL(IF(Id_Impression=$A47,ROW(Quantité_à_imprimer_12_2017)-MIN(ROW(Quantité_à_imprimer_12_2017))+1),COLUMNS($A$3:B47))),"")</f>
        <v>1</v>
      </c>
      <c r="T47" s="38" t="str">
        <f t="array" ref="T47">IFERROR(INDEX(Quantité_à_imprimer_12_2017,SMALL(IF(Id_Impression=$A47,ROW(Quantité_à_imprimer_12_2017)-MIN(ROW(Quantité_à_imprimer_12_2017))+1),COLUMNS($A$3:C47))),"")</f>
        <v/>
      </c>
      <c r="U47" s="38" t="str">
        <f t="array" ref="U47">IFERROR(INDEX(Quantité_à_imprimer_12_2017,SMALL(IF(Id_Impression=$A47,ROW(Quantité_à_imprimer_12_2017)-MIN(ROW(Quantité_à_imprimer_12_2017))+1),COLUMNS($A$3:D47))),"")</f>
        <v/>
      </c>
      <c r="V47" s="38" t="str">
        <f t="array" ref="V47">IFERROR(INDEX(Quantité_à_imprimer_12_2017,SMALL(IF(Id_Impression=$A47,ROW(Quantité_à_imprimer_12_2017)-MIN(ROW(Quantité_à_imprimer_12_2017))+1),COLUMNS($A$3:E47))),"")</f>
        <v/>
      </c>
      <c r="W47" s="38" t="str">
        <f t="array" ref="W47">IFERROR(INDEX(Quantité_à_imprimer_12_2017,SMALL(IF(Id_Impression=$A47,ROW(Quantité_à_imprimer_12_2017)-MIN(ROW(Quantité_à_imprimer_12_2017))+1),COLUMNS($A$3:F47))),"")</f>
        <v/>
      </c>
      <c r="X47" s="38" t="str">
        <f t="array" ref="X47">IFERROR(INDEX(Quantité_à_imprimer_12_2017,SMALL(IF(Id_Impression=$A47,ROW(Quantité_à_imprimer_12_2017)-MIN(ROW(Quantité_à_imprimer_12_2017))+1),COLUMNS($A$3:G47))),"")</f>
        <v/>
      </c>
    </row>
    <row r="48" spans="1:24" x14ac:dyDescent="0.55000000000000004">
      <c r="A48" s="40">
        <v>46</v>
      </c>
      <c r="B48" s="36">
        <f t="shared" si="0"/>
        <v>0.15277777777777779</v>
      </c>
      <c r="C48" s="37">
        <v>2</v>
      </c>
      <c r="D48" s="38" t="str">
        <f t="array" ref="D48">IFERROR(INDEX(Fichier_initial,SMALL(IF(Id_Impression=$A48,ROW(Fichier_initial)-MIN(ROW(Fichier_initial))+1),COLUMNS($A48:A48))),"")</f>
        <v>homplatebacklow-V1</v>
      </c>
      <c r="E48" s="38" t="str">
        <f t="array" ref="E48">IFERROR(INDEX(Fichier_initial,SMALL(IF(Id_Impression=$A48,ROW(Fichier_initial)-MIN(ROW(Fichier_initial))+1),COLUMNS($A48:B48))),"")</f>
        <v>homplateback-V1</v>
      </c>
      <c r="F48" s="38" t="str">
        <f t="array" ref="F48">IFERROR(INDEX(Fichier_initial,SMALL(IF(Id_Impression=$A48,ROW(Fichier_initial)-MIN(ROW(Fichier_initial))+1),COLUMNS($A48:C48))),"")</f>
        <v/>
      </c>
      <c r="G48" s="38" t="str">
        <f t="array" ref="G48">IFERROR(INDEX(Fichier_initial,SMALL(IF(Id_Impression=$A48,ROW(Fichier_initial)-MIN(ROW(Fichier_initial))+1),COLUMNS($A48:D48))),"")</f>
        <v/>
      </c>
      <c r="H48" s="38" t="str">
        <f t="array" ref="H48">IFERROR(INDEX(Fichier_initial,SMALL(IF(Id_Impression=$A48,ROW(Fichier_initial)-MIN(ROW(Fichier_initial))+1),COLUMNS($A48:E48))),"")</f>
        <v/>
      </c>
      <c r="I48" s="38" t="str">
        <f t="array" ref="I48">IFERROR(INDEX(Fichier_initial,SMALL(IF(Id_Impression=$A48,ROW(Fichier_initial)-MIN(ROW(Fichier_initial))+1),COLUMNS($A48:F48))),"")</f>
        <v/>
      </c>
      <c r="J48" s="38" t="str">
        <f t="array" ref="J48">IFERROR(INDEX(Fichier_initial,SMALL(IF(Id_Impression=$A48,ROW(Fichier_initial)-MIN(ROW(Fichier_initial))+1),COLUMNS($A48:G48))),"")</f>
        <v/>
      </c>
      <c r="K48" s="39">
        <f t="array" ref="K48">IFERROR(INDEX(Temps_Total,SMALL(IF(Id_Impression=$A48,ROW(Temps_Total)-MIN(ROW(Temps_Total))+1),COLUMNS($A$3:A48))),"")</f>
        <v>7.3611111111111113E-2</v>
      </c>
      <c r="L48" s="39">
        <f t="array" ref="L48">IFERROR(INDEX(Temps_Total,SMALL(IF(Id_Impression=$A48,ROW(Temps_Total)-MIN(ROW(Temps_Total))+1),COLUMNS($A$3:B48))),"")</f>
        <v>7.9166666666666663E-2</v>
      </c>
      <c r="M48" s="39" t="str">
        <f t="array" ref="M48">IFERROR(INDEX(Temps_Total,SMALL(IF(Id_Impression=$A48,ROW(Temps_Total)-MIN(ROW(Temps_Total))+1),COLUMNS($A$3:C48))),"")</f>
        <v/>
      </c>
      <c r="N48" s="39" t="str">
        <f t="array" ref="N48">IFERROR(INDEX(Temps_Total,SMALL(IF(Id_Impression=$A48,ROW(Temps_Total)-MIN(ROW(Temps_Total))+1),COLUMNS($A$3:D48))),"")</f>
        <v/>
      </c>
      <c r="O48" s="39" t="str">
        <f t="array" ref="O48">IFERROR(INDEX(Temps_Total,SMALL(IF(Id_Impression=$A48,ROW(Temps_Total)-MIN(ROW(Temps_Total))+1),COLUMNS($A$3:E48))),"")</f>
        <v/>
      </c>
      <c r="P48" s="39" t="str">
        <f t="array" ref="P48">IFERROR(INDEX(Temps_Total,SMALL(IF(Id_Impression=$A48,ROW(Temps_Total)-MIN(ROW(Temps_Total))+1),COLUMNS($A$3:F48))),"")</f>
        <v/>
      </c>
      <c r="Q48" s="39" t="str">
        <f t="array" ref="Q48">IFERROR(INDEX(Temps_Total,SMALL(IF(Id_Impression=$A48,ROW(Temps_Total)-MIN(ROW(Temps_Total))+1),COLUMNS($A$3:G48))),"")</f>
        <v/>
      </c>
      <c r="R48" s="38">
        <f t="array" ref="R48">IFERROR(INDEX(Quantité_à_imprimer_12_2017,SMALL(IF(Id_Impression=$A48,ROW(Quantité_à_imprimer_12_2017)-MIN(ROW(Quantité_à_imprimer_12_2017))+1),COLUMNS($A$3:A48))),"")</f>
        <v>1</v>
      </c>
      <c r="S48" s="38">
        <f t="array" ref="S48">IFERROR(INDEX(Quantité_à_imprimer_12_2017,SMALL(IF(Id_Impression=$A48,ROW(Quantité_à_imprimer_12_2017)-MIN(ROW(Quantité_à_imprimer_12_2017))+1),COLUMNS($A$3:B48))),"")</f>
        <v>1</v>
      </c>
      <c r="T48" s="38" t="str">
        <f t="array" ref="T48">IFERROR(INDEX(Quantité_à_imprimer_12_2017,SMALL(IF(Id_Impression=$A48,ROW(Quantité_à_imprimer_12_2017)-MIN(ROW(Quantité_à_imprimer_12_2017))+1),COLUMNS($A$3:C48))),"")</f>
        <v/>
      </c>
      <c r="U48" s="38" t="str">
        <f t="array" ref="U48">IFERROR(INDEX(Quantité_à_imprimer_12_2017,SMALL(IF(Id_Impression=$A48,ROW(Quantité_à_imprimer_12_2017)-MIN(ROW(Quantité_à_imprimer_12_2017))+1),COLUMNS($A$3:D48))),"")</f>
        <v/>
      </c>
      <c r="V48" s="38" t="str">
        <f t="array" ref="V48">IFERROR(INDEX(Quantité_à_imprimer_12_2017,SMALL(IF(Id_Impression=$A48,ROW(Quantité_à_imprimer_12_2017)-MIN(ROW(Quantité_à_imprimer_12_2017))+1),COLUMNS($A$3:E48))),"")</f>
        <v/>
      </c>
      <c r="W48" s="38" t="str">
        <f t="array" ref="W48">IFERROR(INDEX(Quantité_à_imprimer_12_2017,SMALL(IF(Id_Impression=$A48,ROW(Quantité_à_imprimer_12_2017)-MIN(ROW(Quantité_à_imprimer_12_2017))+1),COLUMNS($A$3:F48))),"")</f>
        <v/>
      </c>
      <c r="X48" s="38" t="str">
        <f t="array" ref="X48">IFERROR(INDEX(Quantité_à_imprimer_12_2017,SMALL(IF(Id_Impression=$A48,ROW(Quantité_à_imprimer_12_2017)-MIN(ROW(Quantité_à_imprimer_12_2017))+1),COLUMNS($A$3:G48))),"")</f>
        <v/>
      </c>
    </row>
    <row r="49" spans="1:24" x14ac:dyDescent="0.55000000000000004">
      <c r="A49" s="40">
        <v>47</v>
      </c>
      <c r="B49" s="36">
        <f t="shared" si="0"/>
        <v>0.17916666666666667</v>
      </c>
      <c r="C49" s="37">
        <v>2</v>
      </c>
      <c r="D49" s="38" t="str">
        <f t="array" ref="D49">IFERROR(INDEX(Fichier_initial,SMALL(IF(Id_Impression=$A49,ROW(Fichier_initial)-MIN(ROW(Fichier_initial))+1),COLUMNS($A49:A49))),"")</f>
        <v>homplatefront+V1</v>
      </c>
      <c r="E49" s="38" t="str">
        <f t="array" ref="E49">IFERROR(INDEX(Fichier_initial,SMALL(IF(Id_Impression=$A49,ROW(Fichier_initial)-MIN(ROW(Fichier_initial))+1),COLUMNS($A49:B49))),"")</f>
        <v>homplatefront-V1</v>
      </c>
      <c r="F49" s="38" t="str">
        <f t="array" ref="F49">IFERROR(INDEX(Fichier_initial,SMALL(IF(Id_Impression=$A49,ROW(Fichier_initial)-MIN(ROW(Fichier_initial))+1),COLUMNS($A49:C49))),"")</f>
        <v/>
      </c>
      <c r="G49" s="38" t="str">
        <f t="array" ref="G49">IFERROR(INDEX(Fichier_initial,SMALL(IF(Id_Impression=$A49,ROW(Fichier_initial)-MIN(ROW(Fichier_initial))+1),COLUMNS($A49:D49))),"")</f>
        <v/>
      </c>
      <c r="H49" s="38" t="str">
        <f t="array" ref="H49">IFERROR(INDEX(Fichier_initial,SMALL(IF(Id_Impression=$A49,ROW(Fichier_initial)-MIN(ROW(Fichier_initial))+1),COLUMNS($A49:E49))),"")</f>
        <v/>
      </c>
      <c r="I49" s="38" t="str">
        <f t="array" ref="I49">IFERROR(INDEX(Fichier_initial,SMALL(IF(Id_Impression=$A49,ROW(Fichier_initial)-MIN(ROW(Fichier_initial))+1),COLUMNS($A49:F49))),"")</f>
        <v/>
      </c>
      <c r="J49" s="38" t="str">
        <f t="array" ref="J49">IFERROR(INDEX(Fichier_initial,SMALL(IF(Id_Impression=$A49,ROW(Fichier_initial)-MIN(ROW(Fichier_initial))+1),COLUMNS($A49:G49))),"")</f>
        <v/>
      </c>
      <c r="K49" s="39">
        <f t="array" ref="K49">IFERROR(INDEX(Temps_Total,SMALL(IF(Id_Impression=$A49,ROW(Temps_Total)-MIN(ROW(Temps_Total))+1),COLUMNS($A$3:A49))),"")</f>
        <v>9.0972222222222218E-2</v>
      </c>
      <c r="L49" s="39">
        <f t="array" ref="L49">IFERROR(INDEX(Temps_Total,SMALL(IF(Id_Impression=$A49,ROW(Temps_Total)-MIN(ROW(Temps_Total))+1),COLUMNS($A$3:B49))),"")</f>
        <v>8.819444444444445E-2</v>
      </c>
      <c r="M49" s="39" t="str">
        <f t="array" ref="M49">IFERROR(INDEX(Temps_Total,SMALL(IF(Id_Impression=$A49,ROW(Temps_Total)-MIN(ROW(Temps_Total))+1),COLUMNS($A$3:C49))),"")</f>
        <v/>
      </c>
      <c r="N49" s="39" t="str">
        <f t="array" ref="N49">IFERROR(INDEX(Temps_Total,SMALL(IF(Id_Impression=$A49,ROW(Temps_Total)-MIN(ROW(Temps_Total))+1),COLUMNS($A$3:D49))),"")</f>
        <v/>
      </c>
      <c r="O49" s="39" t="str">
        <f t="array" ref="O49">IFERROR(INDEX(Temps_Total,SMALL(IF(Id_Impression=$A49,ROW(Temps_Total)-MIN(ROW(Temps_Total))+1),COLUMNS($A$3:E49))),"")</f>
        <v/>
      </c>
      <c r="P49" s="39" t="str">
        <f t="array" ref="P49">IFERROR(INDEX(Temps_Total,SMALL(IF(Id_Impression=$A49,ROW(Temps_Total)-MIN(ROW(Temps_Total))+1),COLUMNS($A$3:F49))),"")</f>
        <v/>
      </c>
      <c r="Q49" s="39" t="str">
        <f t="array" ref="Q49">IFERROR(INDEX(Temps_Total,SMALL(IF(Id_Impression=$A49,ROW(Temps_Total)-MIN(ROW(Temps_Total))+1),COLUMNS($A$3:G49))),"")</f>
        <v/>
      </c>
      <c r="R49" s="38">
        <f t="array" ref="R49">IFERROR(INDEX(Quantité_à_imprimer_12_2017,SMALL(IF(Id_Impression=$A49,ROW(Quantité_à_imprimer_12_2017)-MIN(ROW(Quantité_à_imprimer_12_2017))+1),COLUMNS($A$3:A49))),"")</f>
        <v>1</v>
      </c>
      <c r="S49" s="38">
        <f t="array" ref="S49">IFERROR(INDEX(Quantité_à_imprimer_12_2017,SMALL(IF(Id_Impression=$A49,ROW(Quantité_à_imprimer_12_2017)-MIN(ROW(Quantité_à_imprimer_12_2017))+1),COLUMNS($A$3:B49))),"")</f>
        <v>1</v>
      </c>
      <c r="T49" s="38" t="str">
        <f t="array" ref="T49">IFERROR(INDEX(Quantité_à_imprimer_12_2017,SMALL(IF(Id_Impression=$A49,ROW(Quantité_à_imprimer_12_2017)-MIN(ROW(Quantité_à_imprimer_12_2017))+1),COLUMNS($A$3:C49))),"")</f>
        <v/>
      </c>
      <c r="U49" s="38" t="str">
        <f t="array" ref="U49">IFERROR(INDEX(Quantité_à_imprimer_12_2017,SMALL(IF(Id_Impression=$A49,ROW(Quantité_à_imprimer_12_2017)-MIN(ROW(Quantité_à_imprimer_12_2017))+1),COLUMNS($A$3:D49))),"")</f>
        <v/>
      </c>
      <c r="V49" s="38" t="str">
        <f t="array" ref="V49">IFERROR(INDEX(Quantité_à_imprimer_12_2017,SMALL(IF(Id_Impression=$A49,ROW(Quantité_à_imprimer_12_2017)-MIN(ROW(Quantité_à_imprimer_12_2017))+1),COLUMNS($A$3:E49))),"")</f>
        <v/>
      </c>
      <c r="W49" s="38" t="str">
        <f t="array" ref="W49">IFERROR(INDEX(Quantité_à_imprimer_12_2017,SMALL(IF(Id_Impression=$A49,ROW(Quantité_à_imprimer_12_2017)-MIN(ROW(Quantité_à_imprimer_12_2017))+1),COLUMNS($A$3:F49))),"")</f>
        <v/>
      </c>
      <c r="X49" s="38" t="str">
        <f t="array" ref="X49">IFERROR(INDEX(Quantité_à_imprimer_12_2017,SMALL(IF(Id_Impression=$A49,ROW(Quantité_à_imprimer_12_2017)-MIN(ROW(Quantité_à_imprimer_12_2017))+1),COLUMNS($A$3:G49))),"")</f>
        <v/>
      </c>
    </row>
    <row r="50" spans="1:24" x14ac:dyDescent="0.55000000000000004">
      <c r="A50" s="40">
        <v>48</v>
      </c>
      <c r="B50" s="36">
        <f t="shared" si="0"/>
        <v>0.17222222222222222</v>
      </c>
      <c r="C50" s="37">
        <v>2</v>
      </c>
      <c r="D50" s="38" t="str">
        <f t="array" ref="D50">IFERROR(INDEX(Fichier_initial,SMALL(IF(Id_Impression=$A50,ROW(Fichier_initial)-MIN(ROW(Fichier_initial))+1),COLUMNS($A50:A50))),"")</f>
        <v>ChestLowV1</v>
      </c>
      <c r="E50" s="38" t="str">
        <f t="array" ref="E50">IFERROR(INDEX(Fichier_initial,SMALL(IF(Id_Impression=$A50,ROW(Fichier_initial)-MIN(ROW(Fichier_initial))+1),COLUMNS($A50:B50))),"")</f>
        <v>KinectMidFrontV1</v>
      </c>
      <c r="F50" s="38" t="str">
        <f t="array" ref="F50">IFERROR(INDEX(Fichier_initial,SMALL(IF(Id_Impression=$A50,ROW(Fichier_initial)-MIN(ROW(Fichier_initial))+1),COLUMNS($A50:C50))),"")</f>
        <v/>
      </c>
      <c r="G50" s="38" t="str">
        <f t="array" ref="G50">IFERROR(INDEX(Fichier_initial,SMALL(IF(Id_Impression=$A50,ROW(Fichier_initial)-MIN(ROW(Fichier_initial))+1),COLUMNS($A50:D50))),"")</f>
        <v/>
      </c>
      <c r="H50" s="38" t="str">
        <f t="array" ref="H50">IFERROR(INDEX(Fichier_initial,SMALL(IF(Id_Impression=$A50,ROW(Fichier_initial)-MIN(ROW(Fichier_initial))+1),COLUMNS($A50:E50))),"")</f>
        <v/>
      </c>
      <c r="I50" s="38" t="str">
        <f t="array" ref="I50">IFERROR(INDEX(Fichier_initial,SMALL(IF(Id_Impression=$A50,ROW(Fichier_initial)-MIN(ROW(Fichier_initial))+1),COLUMNS($A50:F50))),"")</f>
        <v/>
      </c>
      <c r="J50" s="38" t="str">
        <f t="array" ref="J50">IFERROR(INDEX(Fichier_initial,SMALL(IF(Id_Impression=$A50,ROW(Fichier_initial)-MIN(ROW(Fichier_initial))+1),COLUMNS($A50:G50))),"")</f>
        <v/>
      </c>
      <c r="K50" s="39">
        <f t="array" ref="K50">IFERROR(INDEX(Temps_Total,SMALL(IF(Id_Impression=$A50,ROW(Temps_Total)-MIN(ROW(Temps_Total))+1),COLUMNS($A$3:A50))),"")</f>
        <v>9.1666666666666674E-2</v>
      </c>
      <c r="L50" s="39">
        <f t="array" ref="L50">IFERROR(INDEX(Temps_Total,SMALL(IF(Id_Impression=$A50,ROW(Temps_Total)-MIN(ROW(Temps_Total))+1),COLUMNS($A$3:B50))),"")</f>
        <v>8.0555555555555561E-2</v>
      </c>
      <c r="M50" s="39" t="str">
        <f t="array" ref="M50">IFERROR(INDEX(Temps_Total,SMALL(IF(Id_Impression=$A50,ROW(Temps_Total)-MIN(ROW(Temps_Total))+1),COLUMNS($A$3:C50))),"")</f>
        <v/>
      </c>
      <c r="N50" s="39" t="str">
        <f t="array" ref="N50">IFERROR(INDEX(Temps_Total,SMALL(IF(Id_Impression=$A50,ROW(Temps_Total)-MIN(ROW(Temps_Total))+1),COLUMNS($A$3:D50))),"")</f>
        <v/>
      </c>
      <c r="O50" s="39" t="str">
        <f t="array" ref="O50">IFERROR(INDEX(Temps_Total,SMALL(IF(Id_Impression=$A50,ROW(Temps_Total)-MIN(ROW(Temps_Total))+1),COLUMNS($A$3:E50))),"")</f>
        <v/>
      </c>
      <c r="P50" s="39" t="str">
        <f t="array" ref="P50">IFERROR(INDEX(Temps_Total,SMALL(IF(Id_Impression=$A50,ROW(Temps_Total)-MIN(ROW(Temps_Total))+1),COLUMNS($A$3:F50))),"")</f>
        <v/>
      </c>
      <c r="Q50" s="39" t="str">
        <f t="array" ref="Q50">IFERROR(INDEX(Temps_Total,SMALL(IF(Id_Impression=$A50,ROW(Temps_Total)-MIN(ROW(Temps_Total))+1),COLUMNS($A$3:G50))),"")</f>
        <v/>
      </c>
      <c r="R50" s="38">
        <f t="array" ref="R50">IFERROR(INDEX(Quantité_à_imprimer_12_2017,SMALL(IF(Id_Impression=$A50,ROW(Quantité_à_imprimer_12_2017)-MIN(ROW(Quantité_à_imprimer_12_2017))+1),COLUMNS($A$3:A50))),"")</f>
        <v>2</v>
      </c>
      <c r="S50" s="38">
        <f t="array" ref="S50">IFERROR(INDEX(Quantité_à_imprimer_12_2017,SMALL(IF(Id_Impression=$A50,ROW(Quantité_à_imprimer_12_2017)-MIN(ROW(Quantité_à_imprimer_12_2017))+1),COLUMNS($A$3:B50))),"")</f>
        <v>1</v>
      </c>
      <c r="T50" s="38" t="str">
        <f t="array" ref="T50">IFERROR(INDEX(Quantité_à_imprimer_12_2017,SMALL(IF(Id_Impression=$A50,ROW(Quantité_à_imprimer_12_2017)-MIN(ROW(Quantité_à_imprimer_12_2017))+1),COLUMNS($A$3:C50))),"")</f>
        <v/>
      </c>
      <c r="U50" s="38" t="str">
        <f t="array" ref="U50">IFERROR(INDEX(Quantité_à_imprimer_12_2017,SMALL(IF(Id_Impression=$A50,ROW(Quantité_à_imprimer_12_2017)-MIN(ROW(Quantité_à_imprimer_12_2017))+1),COLUMNS($A$3:D50))),"")</f>
        <v/>
      </c>
      <c r="V50" s="38" t="str">
        <f t="array" ref="V50">IFERROR(INDEX(Quantité_à_imprimer_12_2017,SMALL(IF(Id_Impression=$A50,ROW(Quantité_à_imprimer_12_2017)-MIN(ROW(Quantité_à_imprimer_12_2017))+1),COLUMNS($A$3:E50))),"")</f>
        <v/>
      </c>
      <c r="W50" s="38" t="str">
        <f t="array" ref="W50">IFERROR(INDEX(Quantité_à_imprimer_12_2017,SMALL(IF(Id_Impression=$A50,ROW(Quantité_à_imprimer_12_2017)-MIN(ROW(Quantité_à_imprimer_12_2017))+1),COLUMNS($A$3:F50))),"")</f>
        <v/>
      </c>
      <c r="X50" s="38" t="str">
        <f t="array" ref="X50">IFERROR(INDEX(Quantité_à_imprimer_12_2017,SMALL(IF(Id_Impression=$A50,ROW(Quantité_à_imprimer_12_2017)-MIN(ROW(Quantité_à_imprimer_12_2017))+1),COLUMNS($A$3:G50))),"")</f>
        <v/>
      </c>
    </row>
    <row r="51" spans="1:24" x14ac:dyDescent="0.55000000000000004">
      <c r="A51" s="40">
        <v>49</v>
      </c>
      <c r="B51" s="36">
        <f t="shared" si="0"/>
        <v>0.12638888888888888</v>
      </c>
      <c r="C51" s="37">
        <v>1</v>
      </c>
      <c r="D51" s="38" t="str">
        <f t="array" ref="D51">IFERROR(INDEX(Fichier_initial,SMALL(IF(Id_Impression=$A51,ROW(Fichier_initial)-MIN(ROW(Fichier_initial))+1),COLUMNS($A51:A51))),"")</f>
        <v>interKinectSideV1</v>
      </c>
      <c r="E51" s="38" t="str">
        <f t="array" ref="E51">IFERROR(INDEX(Fichier_initial,SMALL(IF(Id_Impression=$A51,ROW(Fichier_initial)-MIN(ROW(Fichier_initial))+1),COLUMNS($A51:B51))),"")</f>
        <v/>
      </c>
      <c r="F51" s="38" t="str">
        <f t="array" ref="F51">IFERROR(INDEX(Fichier_initial,SMALL(IF(Id_Impression=$A51,ROW(Fichier_initial)-MIN(ROW(Fichier_initial))+1),COLUMNS($A51:C51))),"")</f>
        <v/>
      </c>
      <c r="G51" s="38" t="str">
        <f t="array" ref="G51">IFERROR(INDEX(Fichier_initial,SMALL(IF(Id_Impression=$A51,ROW(Fichier_initial)-MIN(ROW(Fichier_initial))+1),COLUMNS($A51:D51))),"")</f>
        <v/>
      </c>
      <c r="H51" s="38" t="str">
        <f t="array" ref="H51">IFERROR(INDEX(Fichier_initial,SMALL(IF(Id_Impression=$A51,ROW(Fichier_initial)-MIN(ROW(Fichier_initial))+1),COLUMNS($A51:E51))),"")</f>
        <v/>
      </c>
      <c r="I51" s="38" t="str">
        <f t="array" ref="I51">IFERROR(INDEX(Fichier_initial,SMALL(IF(Id_Impression=$A51,ROW(Fichier_initial)-MIN(ROW(Fichier_initial))+1),COLUMNS($A51:F51))),"")</f>
        <v/>
      </c>
      <c r="J51" s="38" t="str">
        <f t="array" ref="J51">IFERROR(INDEX(Fichier_initial,SMALL(IF(Id_Impression=$A51,ROW(Fichier_initial)-MIN(ROW(Fichier_initial))+1),COLUMNS($A51:G51))),"")</f>
        <v/>
      </c>
      <c r="K51" s="39">
        <f t="array" ref="K51">IFERROR(INDEX(Temps_Total,SMALL(IF(Id_Impression=$A51,ROW(Temps_Total)-MIN(ROW(Temps_Total))+1),COLUMNS($A$3:A51))),"")</f>
        <v>0.12638888888888888</v>
      </c>
      <c r="L51" s="39" t="str">
        <f t="array" ref="L51">IFERROR(INDEX(Temps_Total,SMALL(IF(Id_Impression=$A51,ROW(Temps_Total)-MIN(ROW(Temps_Total))+1),COLUMNS($A$3:B51))),"")</f>
        <v/>
      </c>
      <c r="M51" s="39" t="str">
        <f t="array" ref="M51">IFERROR(INDEX(Temps_Total,SMALL(IF(Id_Impression=$A51,ROW(Temps_Total)-MIN(ROW(Temps_Total))+1),COLUMNS($A$3:C51))),"")</f>
        <v/>
      </c>
      <c r="N51" s="39" t="str">
        <f t="array" ref="N51">IFERROR(INDEX(Temps_Total,SMALL(IF(Id_Impression=$A51,ROW(Temps_Total)-MIN(ROW(Temps_Total))+1),COLUMNS($A$3:D51))),"")</f>
        <v/>
      </c>
      <c r="O51" s="39" t="str">
        <f t="array" ref="O51">IFERROR(INDEX(Temps_Total,SMALL(IF(Id_Impression=$A51,ROW(Temps_Total)-MIN(ROW(Temps_Total))+1),COLUMNS($A$3:E51))),"")</f>
        <v/>
      </c>
      <c r="P51" s="39" t="str">
        <f t="array" ref="P51">IFERROR(INDEX(Temps_Total,SMALL(IF(Id_Impression=$A51,ROW(Temps_Total)-MIN(ROW(Temps_Total))+1),COLUMNS($A$3:F51))),"")</f>
        <v/>
      </c>
      <c r="Q51" s="39" t="str">
        <f t="array" ref="Q51">IFERROR(INDEX(Temps_Total,SMALL(IF(Id_Impression=$A51,ROW(Temps_Total)-MIN(ROW(Temps_Total))+1),COLUMNS($A$3:G51))),"")</f>
        <v/>
      </c>
      <c r="R51" s="38">
        <f t="array" ref="R51">IFERROR(INDEX(Quantité_à_imprimer_12_2017,SMALL(IF(Id_Impression=$A51,ROW(Quantité_à_imprimer_12_2017)-MIN(ROW(Quantité_à_imprimer_12_2017))+1),COLUMNS($A$3:A51))),"")</f>
        <v>2</v>
      </c>
      <c r="S51" s="38" t="str">
        <f t="array" ref="S51">IFERROR(INDEX(Quantité_à_imprimer_12_2017,SMALL(IF(Id_Impression=$A51,ROW(Quantité_à_imprimer_12_2017)-MIN(ROW(Quantité_à_imprimer_12_2017))+1),COLUMNS($A$3:B51))),"")</f>
        <v/>
      </c>
      <c r="T51" s="38" t="str">
        <f t="array" ref="T51">IFERROR(INDEX(Quantité_à_imprimer_12_2017,SMALL(IF(Id_Impression=$A51,ROW(Quantité_à_imprimer_12_2017)-MIN(ROW(Quantité_à_imprimer_12_2017))+1),COLUMNS($A$3:C51))),"")</f>
        <v/>
      </c>
      <c r="U51" s="38" t="str">
        <f t="array" ref="U51">IFERROR(INDEX(Quantité_à_imprimer_12_2017,SMALL(IF(Id_Impression=$A51,ROW(Quantité_à_imprimer_12_2017)-MIN(ROW(Quantité_à_imprimer_12_2017))+1),COLUMNS($A$3:D51))),"")</f>
        <v/>
      </c>
      <c r="V51" s="38" t="str">
        <f t="array" ref="V51">IFERROR(INDEX(Quantité_à_imprimer_12_2017,SMALL(IF(Id_Impression=$A51,ROW(Quantité_à_imprimer_12_2017)-MIN(ROW(Quantité_à_imprimer_12_2017))+1),COLUMNS($A$3:E51))),"")</f>
        <v/>
      </c>
      <c r="W51" s="38" t="str">
        <f t="array" ref="W51">IFERROR(INDEX(Quantité_à_imprimer_12_2017,SMALL(IF(Id_Impression=$A51,ROW(Quantité_à_imprimer_12_2017)-MIN(ROW(Quantité_à_imprimer_12_2017))+1),COLUMNS($A$3:F51))),"")</f>
        <v/>
      </c>
      <c r="X51" s="38" t="str">
        <f t="array" ref="X51">IFERROR(INDEX(Quantité_à_imprimer_12_2017,SMALL(IF(Id_Impression=$A51,ROW(Quantité_à_imprimer_12_2017)-MIN(ROW(Quantité_à_imprimer_12_2017))+1),COLUMNS($A$3:G51))),"")</f>
        <v/>
      </c>
    </row>
    <row r="52" spans="1:24" x14ac:dyDescent="0.55000000000000004">
      <c r="A52" s="40">
        <v>50</v>
      </c>
      <c r="B52" s="36">
        <f t="shared" si="0"/>
        <v>0.14097222222222222</v>
      </c>
      <c r="C52" s="37">
        <v>1</v>
      </c>
      <c r="D52" s="38" t="str">
        <f t="array" ref="D52">IFERROR(INDEX(Fichier_initial,SMALL(IF(Id_Impression=$A52,ROW(Fichier_initial)-MIN(ROW(Fichier_initial))+1),COLUMNS($A52:A52))),"")</f>
        <v>KinectMidBackV1</v>
      </c>
      <c r="E52" s="38" t="str">
        <f t="array" ref="E52">IFERROR(INDEX(Fichier_initial,SMALL(IF(Id_Impression=$A52,ROW(Fichier_initial)-MIN(ROW(Fichier_initial))+1),COLUMNS($A52:B52))),"")</f>
        <v/>
      </c>
      <c r="F52" s="38" t="str">
        <f t="array" ref="F52">IFERROR(INDEX(Fichier_initial,SMALL(IF(Id_Impression=$A52,ROW(Fichier_initial)-MIN(ROW(Fichier_initial))+1),COLUMNS($A52:C52))),"")</f>
        <v/>
      </c>
      <c r="G52" s="38" t="str">
        <f t="array" ref="G52">IFERROR(INDEX(Fichier_initial,SMALL(IF(Id_Impression=$A52,ROW(Fichier_initial)-MIN(ROW(Fichier_initial))+1),COLUMNS($A52:D52))),"")</f>
        <v/>
      </c>
      <c r="H52" s="38" t="str">
        <f t="array" ref="H52">IFERROR(INDEX(Fichier_initial,SMALL(IF(Id_Impression=$A52,ROW(Fichier_initial)-MIN(ROW(Fichier_initial))+1),COLUMNS($A52:E52))),"")</f>
        <v/>
      </c>
      <c r="I52" s="38" t="str">
        <f t="array" ref="I52">IFERROR(INDEX(Fichier_initial,SMALL(IF(Id_Impression=$A52,ROW(Fichier_initial)-MIN(ROW(Fichier_initial))+1),COLUMNS($A52:F52))),"")</f>
        <v/>
      </c>
      <c r="J52" s="38" t="str">
        <f t="array" ref="J52">IFERROR(INDEX(Fichier_initial,SMALL(IF(Id_Impression=$A52,ROW(Fichier_initial)-MIN(ROW(Fichier_initial))+1),COLUMNS($A52:G52))),"")</f>
        <v/>
      </c>
      <c r="K52" s="39">
        <f t="array" ref="K52">IFERROR(INDEX(Temps_Total,SMALL(IF(Id_Impression=$A52,ROW(Temps_Total)-MIN(ROW(Temps_Total))+1),COLUMNS($A$3:A52))),"")</f>
        <v>0.14097222222222222</v>
      </c>
      <c r="L52" s="39" t="str">
        <f t="array" ref="L52">IFERROR(INDEX(Temps_Total,SMALL(IF(Id_Impression=$A52,ROW(Temps_Total)-MIN(ROW(Temps_Total))+1),COLUMNS($A$3:B52))),"")</f>
        <v/>
      </c>
      <c r="M52" s="39" t="str">
        <f t="array" ref="M52">IFERROR(INDEX(Temps_Total,SMALL(IF(Id_Impression=$A52,ROW(Temps_Total)-MIN(ROW(Temps_Total))+1),COLUMNS($A$3:C52))),"")</f>
        <v/>
      </c>
      <c r="N52" s="39" t="str">
        <f t="array" ref="N52">IFERROR(INDEX(Temps_Total,SMALL(IF(Id_Impression=$A52,ROW(Temps_Total)-MIN(ROW(Temps_Total))+1),COLUMNS($A$3:D52))),"")</f>
        <v/>
      </c>
      <c r="O52" s="39" t="str">
        <f t="array" ref="O52">IFERROR(INDEX(Temps_Total,SMALL(IF(Id_Impression=$A52,ROW(Temps_Total)-MIN(ROW(Temps_Total))+1),COLUMNS($A$3:E52))),"")</f>
        <v/>
      </c>
      <c r="P52" s="39" t="str">
        <f t="array" ref="P52">IFERROR(INDEX(Temps_Total,SMALL(IF(Id_Impression=$A52,ROW(Temps_Total)-MIN(ROW(Temps_Total))+1),COLUMNS($A$3:F52))),"")</f>
        <v/>
      </c>
      <c r="Q52" s="39" t="str">
        <f t="array" ref="Q52">IFERROR(INDEX(Temps_Total,SMALL(IF(Id_Impression=$A52,ROW(Temps_Total)-MIN(ROW(Temps_Total))+1),COLUMNS($A$3:G52))),"")</f>
        <v/>
      </c>
      <c r="R52" s="38">
        <f t="array" ref="R52">IFERROR(INDEX(Quantité_à_imprimer_12_2017,SMALL(IF(Id_Impression=$A52,ROW(Quantité_à_imprimer_12_2017)-MIN(ROW(Quantité_à_imprimer_12_2017))+1),COLUMNS($A$3:A52))),"")</f>
        <v>1</v>
      </c>
      <c r="S52" s="38" t="str">
        <f t="array" ref="S52">IFERROR(INDEX(Quantité_à_imprimer_12_2017,SMALL(IF(Id_Impression=$A52,ROW(Quantité_à_imprimer_12_2017)-MIN(ROW(Quantité_à_imprimer_12_2017))+1),COLUMNS($A$3:B52))),"")</f>
        <v/>
      </c>
      <c r="T52" s="38" t="str">
        <f t="array" ref="T52">IFERROR(INDEX(Quantité_à_imprimer_12_2017,SMALL(IF(Id_Impression=$A52,ROW(Quantité_à_imprimer_12_2017)-MIN(ROW(Quantité_à_imprimer_12_2017))+1),COLUMNS($A$3:C52))),"")</f>
        <v/>
      </c>
      <c r="U52" s="38" t="str">
        <f t="array" ref="U52">IFERROR(INDEX(Quantité_à_imprimer_12_2017,SMALL(IF(Id_Impression=$A52,ROW(Quantité_à_imprimer_12_2017)-MIN(ROW(Quantité_à_imprimer_12_2017))+1),COLUMNS($A$3:D52))),"")</f>
        <v/>
      </c>
      <c r="V52" s="38" t="str">
        <f t="array" ref="V52">IFERROR(INDEX(Quantité_à_imprimer_12_2017,SMALL(IF(Id_Impression=$A52,ROW(Quantité_à_imprimer_12_2017)-MIN(ROW(Quantité_à_imprimer_12_2017))+1),COLUMNS($A$3:E52))),"")</f>
        <v/>
      </c>
      <c r="W52" s="38" t="str">
        <f t="array" ref="W52">IFERROR(INDEX(Quantité_à_imprimer_12_2017,SMALL(IF(Id_Impression=$A52,ROW(Quantité_à_imprimer_12_2017)-MIN(ROW(Quantité_à_imprimer_12_2017))+1),COLUMNS($A$3:F52))),"")</f>
        <v/>
      </c>
      <c r="X52" s="38" t="str">
        <f t="array" ref="X52">IFERROR(INDEX(Quantité_à_imprimer_12_2017,SMALL(IF(Id_Impression=$A52,ROW(Quantité_à_imprimer_12_2017)-MIN(ROW(Quantité_à_imprimer_12_2017))+1),COLUMNS($A$3:G52))),"")</f>
        <v/>
      </c>
    </row>
    <row r="53" spans="1:24" x14ac:dyDescent="0.55000000000000004">
      <c r="A53" s="40">
        <v>51</v>
      </c>
      <c r="B53" s="36">
        <f t="shared" si="0"/>
        <v>9.8611111111111108E-2</v>
      </c>
      <c r="C53" s="37">
        <v>1</v>
      </c>
      <c r="D53" s="38" t="str">
        <f t="array" ref="D53">IFERROR(INDEX(Fichier_initial,SMALL(IF(Id_Impression=$A53,ROW(Fichier_initial)-MIN(ROW(Fichier_initial))+1),COLUMNS($A53:A53))),"")</f>
        <v>SternumV1</v>
      </c>
      <c r="E53" s="38" t="str">
        <f t="array" ref="E53">IFERROR(INDEX(Fichier_initial,SMALL(IF(Id_Impression=$A53,ROW(Fichier_initial)-MIN(ROW(Fichier_initial))+1),COLUMNS($A53:B53))),"")</f>
        <v/>
      </c>
      <c r="F53" s="38" t="str">
        <f t="array" ref="F53">IFERROR(INDEX(Fichier_initial,SMALL(IF(Id_Impression=$A53,ROW(Fichier_initial)-MIN(ROW(Fichier_initial))+1),COLUMNS($A53:C53))),"")</f>
        <v/>
      </c>
      <c r="G53" s="38" t="str">
        <f t="array" ref="G53">IFERROR(INDEX(Fichier_initial,SMALL(IF(Id_Impression=$A53,ROW(Fichier_initial)-MIN(ROW(Fichier_initial))+1),COLUMNS($A53:D53))),"")</f>
        <v/>
      </c>
      <c r="H53" s="38" t="str">
        <f t="array" ref="H53">IFERROR(INDEX(Fichier_initial,SMALL(IF(Id_Impression=$A53,ROW(Fichier_initial)-MIN(ROW(Fichier_initial))+1),COLUMNS($A53:E53))),"")</f>
        <v/>
      </c>
      <c r="I53" s="38" t="str">
        <f t="array" ref="I53">IFERROR(INDEX(Fichier_initial,SMALL(IF(Id_Impression=$A53,ROW(Fichier_initial)-MIN(ROW(Fichier_initial))+1),COLUMNS($A53:F53))),"")</f>
        <v/>
      </c>
      <c r="J53" s="38" t="str">
        <f t="array" ref="J53">IFERROR(INDEX(Fichier_initial,SMALL(IF(Id_Impression=$A53,ROW(Fichier_initial)-MIN(ROW(Fichier_initial))+1),COLUMNS($A53:G53))),"")</f>
        <v/>
      </c>
      <c r="K53" s="39">
        <f t="array" ref="K53">IFERROR(INDEX(Temps_Total,SMALL(IF(Id_Impression=$A53,ROW(Temps_Total)-MIN(ROW(Temps_Total))+1),COLUMNS($A$3:A53))),"")</f>
        <v>9.8611111111111108E-2</v>
      </c>
      <c r="L53" s="39" t="str">
        <f t="array" ref="L53">IFERROR(INDEX(Temps_Total,SMALL(IF(Id_Impression=$A53,ROW(Temps_Total)-MIN(ROW(Temps_Total))+1),COLUMNS($A$3:B53))),"")</f>
        <v/>
      </c>
      <c r="M53" s="39" t="str">
        <f t="array" ref="M53">IFERROR(INDEX(Temps_Total,SMALL(IF(Id_Impression=$A53,ROW(Temps_Total)-MIN(ROW(Temps_Total))+1),COLUMNS($A$3:C53))),"")</f>
        <v/>
      </c>
      <c r="N53" s="39" t="str">
        <f t="array" ref="N53">IFERROR(INDEX(Temps_Total,SMALL(IF(Id_Impression=$A53,ROW(Temps_Total)-MIN(ROW(Temps_Total))+1),COLUMNS($A$3:D53))),"")</f>
        <v/>
      </c>
      <c r="O53" s="39" t="str">
        <f t="array" ref="O53">IFERROR(INDEX(Temps_Total,SMALL(IF(Id_Impression=$A53,ROW(Temps_Total)-MIN(ROW(Temps_Total))+1),COLUMNS($A$3:E53))),"")</f>
        <v/>
      </c>
      <c r="P53" s="39" t="str">
        <f t="array" ref="P53">IFERROR(INDEX(Temps_Total,SMALL(IF(Id_Impression=$A53,ROW(Temps_Total)-MIN(ROW(Temps_Total))+1),COLUMNS($A$3:F53))),"")</f>
        <v/>
      </c>
      <c r="Q53" s="39" t="str">
        <f t="array" ref="Q53">IFERROR(INDEX(Temps_Total,SMALL(IF(Id_Impression=$A53,ROW(Temps_Total)-MIN(ROW(Temps_Total))+1),COLUMNS($A$3:G53))),"")</f>
        <v/>
      </c>
      <c r="R53" s="38">
        <f t="array" ref="R53">IFERROR(INDEX(Quantité_à_imprimer_12_2017,SMALL(IF(Id_Impression=$A53,ROW(Quantité_à_imprimer_12_2017)-MIN(ROW(Quantité_à_imprimer_12_2017))+1),COLUMNS($A$3:A53))),"")</f>
        <v>1</v>
      </c>
      <c r="S53" s="38" t="str">
        <f t="array" ref="S53">IFERROR(INDEX(Quantité_à_imprimer_12_2017,SMALL(IF(Id_Impression=$A53,ROW(Quantité_à_imprimer_12_2017)-MIN(ROW(Quantité_à_imprimer_12_2017))+1),COLUMNS($A$3:B53))),"")</f>
        <v/>
      </c>
      <c r="T53" s="38" t="str">
        <f t="array" ref="T53">IFERROR(INDEX(Quantité_à_imprimer_12_2017,SMALL(IF(Id_Impression=$A53,ROW(Quantité_à_imprimer_12_2017)-MIN(ROW(Quantité_à_imprimer_12_2017))+1),COLUMNS($A$3:C53))),"")</f>
        <v/>
      </c>
      <c r="U53" s="38" t="str">
        <f t="array" ref="U53">IFERROR(INDEX(Quantité_à_imprimer_12_2017,SMALL(IF(Id_Impression=$A53,ROW(Quantité_à_imprimer_12_2017)-MIN(ROW(Quantité_à_imprimer_12_2017))+1),COLUMNS($A$3:D53))),"")</f>
        <v/>
      </c>
      <c r="V53" s="38" t="str">
        <f t="array" ref="V53">IFERROR(INDEX(Quantité_à_imprimer_12_2017,SMALL(IF(Id_Impression=$A53,ROW(Quantité_à_imprimer_12_2017)-MIN(ROW(Quantité_à_imprimer_12_2017))+1),COLUMNS($A$3:E53))),"")</f>
        <v/>
      </c>
      <c r="W53" s="38" t="str">
        <f t="array" ref="W53">IFERROR(INDEX(Quantité_à_imprimer_12_2017,SMALL(IF(Id_Impression=$A53,ROW(Quantité_à_imprimer_12_2017)-MIN(ROW(Quantité_à_imprimer_12_2017))+1),COLUMNS($A$3:F53))),"")</f>
        <v/>
      </c>
      <c r="X53" s="38" t="str">
        <f t="array" ref="X53">IFERROR(INDEX(Quantité_à_imprimer_12_2017,SMALL(IF(Id_Impression=$A53,ROW(Quantité_à_imprimer_12_2017)-MIN(ROW(Quantité_à_imprimer_12_2017))+1),COLUMNS($A$3:G53))),"")</f>
        <v/>
      </c>
    </row>
    <row r="54" spans="1:24" x14ac:dyDescent="0.55000000000000004">
      <c r="A54" s="40">
        <v>52</v>
      </c>
      <c r="B54" s="36">
        <f t="shared" si="0"/>
        <v>0.26250000000000001</v>
      </c>
      <c r="C54" s="37">
        <v>3</v>
      </c>
      <c r="D54" s="38" t="str">
        <f t="array" ref="D54">IFERROR(INDEX(Fichier_initial,SMALL(IF(Id_Impression=$A54,ROW(Fichier_initial)-MIN(ROW(Fichier_initial))+1),COLUMNS($A54:A54))),"")</f>
        <v>ThroatLowerV1</v>
      </c>
      <c r="E54" s="38" t="str">
        <f t="array" ref="E54">IFERROR(INDEX(Fichier_initial,SMALL(IF(Id_Impression=$A54,ROW(Fichier_initial)-MIN(ROW(Fichier_initial))+1),COLUMNS($A54:B54))),"")</f>
        <v>InMRightV1HollowV1</v>
      </c>
      <c r="F54" s="38" t="str">
        <f t="array" ref="F54">IFERROR(INDEX(Fichier_initial,SMALL(IF(Id_Impression=$A54,ROW(Fichier_initial)-MIN(ROW(Fichier_initial))+1),COLUMNS($A54:C54))),"")</f>
        <v>InMLeftV1HollowV1</v>
      </c>
      <c r="G54" s="38" t="str">
        <f t="array" ref="G54">IFERROR(INDEX(Fichier_initial,SMALL(IF(Id_Impression=$A54,ROW(Fichier_initial)-MIN(ROW(Fichier_initial))+1),COLUMNS($A54:D54))),"")</f>
        <v/>
      </c>
      <c r="H54" s="38" t="str">
        <f t="array" ref="H54">IFERROR(INDEX(Fichier_initial,SMALL(IF(Id_Impression=$A54,ROW(Fichier_initial)-MIN(ROW(Fichier_initial))+1),COLUMNS($A54:E54))),"")</f>
        <v/>
      </c>
      <c r="I54" s="38" t="str">
        <f t="array" ref="I54">IFERROR(INDEX(Fichier_initial,SMALL(IF(Id_Impression=$A54,ROW(Fichier_initial)-MIN(ROW(Fichier_initial))+1),COLUMNS($A54:F54))),"")</f>
        <v/>
      </c>
      <c r="J54" s="38" t="str">
        <f t="array" ref="J54">IFERROR(INDEX(Fichier_initial,SMALL(IF(Id_Impression=$A54,ROW(Fichier_initial)-MIN(ROW(Fichier_initial))+1),COLUMNS($A54:G54))),"")</f>
        <v/>
      </c>
      <c r="K54" s="39">
        <f t="array" ref="K54">IFERROR(INDEX(Temps_Total,SMALL(IF(Id_Impression=$A54,ROW(Temps_Total)-MIN(ROW(Temps_Total))+1),COLUMNS($A$3:A54))),"")</f>
        <v>8.1944444444444445E-2</v>
      </c>
      <c r="L54" s="39">
        <f t="array" ref="L54">IFERROR(INDEX(Temps_Total,SMALL(IF(Id_Impression=$A54,ROW(Temps_Total)-MIN(ROW(Temps_Total))+1),COLUMNS($A$3:B54))),"")</f>
        <v>9.0277777777777776E-2</v>
      </c>
      <c r="M54" s="39">
        <f t="array" ref="M54">IFERROR(INDEX(Temps_Total,SMALL(IF(Id_Impression=$A54,ROW(Temps_Total)-MIN(ROW(Temps_Total))+1),COLUMNS($A$3:C54))),"")</f>
        <v>9.0277777777777776E-2</v>
      </c>
      <c r="N54" s="39" t="str">
        <f t="array" ref="N54">IFERROR(INDEX(Temps_Total,SMALL(IF(Id_Impression=$A54,ROW(Temps_Total)-MIN(ROW(Temps_Total))+1),COLUMNS($A$3:D54))),"")</f>
        <v/>
      </c>
      <c r="O54" s="39" t="str">
        <f t="array" ref="O54">IFERROR(INDEX(Temps_Total,SMALL(IF(Id_Impression=$A54,ROW(Temps_Total)-MIN(ROW(Temps_Total))+1),COLUMNS($A$3:E54))),"")</f>
        <v/>
      </c>
      <c r="P54" s="39" t="str">
        <f t="array" ref="P54">IFERROR(INDEX(Temps_Total,SMALL(IF(Id_Impression=$A54,ROW(Temps_Total)-MIN(ROW(Temps_Total))+1),COLUMNS($A$3:F54))),"")</f>
        <v/>
      </c>
      <c r="Q54" s="39" t="str">
        <f t="array" ref="Q54">IFERROR(INDEX(Temps_Total,SMALL(IF(Id_Impression=$A54,ROW(Temps_Total)-MIN(ROW(Temps_Total))+1),COLUMNS($A$3:G54))),"")</f>
        <v/>
      </c>
      <c r="R54" s="38">
        <f t="array" ref="R54">IFERROR(INDEX(Quantité_à_imprimer_12_2017,SMALL(IF(Id_Impression=$A54,ROW(Quantité_à_imprimer_12_2017)-MIN(ROW(Quantité_à_imprimer_12_2017))+1),COLUMNS($A$3:A54))),"")</f>
        <v>1</v>
      </c>
      <c r="S54" s="38">
        <f t="array" ref="S54">IFERROR(INDEX(Quantité_à_imprimer_12_2017,SMALL(IF(Id_Impression=$A54,ROW(Quantité_à_imprimer_12_2017)-MIN(ROW(Quantité_à_imprimer_12_2017))+1),COLUMNS($A$3:B54))),"")</f>
        <v>1</v>
      </c>
      <c r="T54" s="38">
        <f t="array" ref="T54">IFERROR(INDEX(Quantité_à_imprimer_12_2017,SMALL(IF(Id_Impression=$A54,ROW(Quantité_à_imprimer_12_2017)-MIN(ROW(Quantité_à_imprimer_12_2017))+1),COLUMNS($A$3:C54))),"")</f>
        <v>1</v>
      </c>
      <c r="U54" s="38" t="str">
        <f t="array" ref="U54">IFERROR(INDEX(Quantité_à_imprimer_12_2017,SMALL(IF(Id_Impression=$A54,ROW(Quantité_à_imprimer_12_2017)-MIN(ROW(Quantité_à_imprimer_12_2017))+1),COLUMNS($A$3:D54))),"")</f>
        <v/>
      </c>
      <c r="V54" s="38" t="str">
        <f t="array" ref="V54">IFERROR(INDEX(Quantité_à_imprimer_12_2017,SMALL(IF(Id_Impression=$A54,ROW(Quantité_à_imprimer_12_2017)-MIN(ROW(Quantité_à_imprimer_12_2017))+1),COLUMNS($A$3:E54))),"")</f>
        <v/>
      </c>
      <c r="W54" s="38" t="str">
        <f t="array" ref="W54">IFERROR(INDEX(Quantité_à_imprimer_12_2017,SMALL(IF(Id_Impression=$A54,ROW(Quantité_à_imprimer_12_2017)-MIN(ROW(Quantité_à_imprimer_12_2017))+1),COLUMNS($A$3:F54))),"")</f>
        <v/>
      </c>
      <c r="X54" s="38" t="str">
        <f t="array" ref="X54">IFERROR(INDEX(Quantité_à_imprimer_12_2017,SMALL(IF(Id_Impression=$A54,ROW(Quantité_à_imprimer_12_2017)-MIN(ROW(Quantité_à_imprimer_12_2017))+1),COLUMNS($A$3:G54))),"")</f>
        <v/>
      </c>
    </row>
    <row r="55" spans="1:24" x14ac:dyDescent="0.55000000000000004">
      <c r="A55" s="40">
        <v>53</v>
      </c>
      <c r="B55" s="36">
        <f t="shared" si="0"/>
        <v>0.16666666666666666</v>
      </c>
      <c r="C55" s="37">
        <v>1</v>
      </c>
      <c r="D55" s="38" t="str">
        <f t="array" ref="D55">IFERROR(INDEX(Fichier_initial,SMALL(IF(Id_Impression=$A55,ROW(Fichier_initial)-MIN(ROW(Fichier_initial))+1),COLUMNS($A55:A55))),"")</f>
        <v>MiddleChestV1</v>
      </c>
      <c r="E55" s="38" t="str">
        <f t="array" ref="E55">IFERROR(INDEX(Fichier_initial,SMALL(IF(Id_Impression=$A55,ROW(Fichier_initial)-MIN(ROW(Fichier_initial))+1),COLUMNS($A55:B55))),"")</f>
        <v/>
      </c>
      <c r="F55" s="38" t="str">
        <f t="array" ref="F55">IFERROR(INDEX(Fichier_initial,SMALL(IF(Id_Impression=$A55,ROW(Fichier_initial)-MIN(ROW(Fichier_initial))+1),COLUMNS($A55:C55))),"")</f>
        <v/>
      </c>
      <c r="G55" s="38" t="str">
        <f t="array" ref="G55">IFERROR(INDEX(Fichier_initial,SMALL(IF(Id_Impression=$A55,ROW(Fichier_initial)-MIN(ROW(Fichier_initial))+1),COLUMNS($A55:D55))),"")</f>
        <v/>
      </c>
      <c r="H55" s="38" t="str">
        <f t="array" ref="H55">IFERROR(INDEX(Fichier_initial,SMALL(IF(Id_Impression=$A55,ROW(Fichier_initial)-MIN(ROW(Fichier_initial))+1),COLUMNS($A55:E55))),"")</f>
        <v/>
      </c>
      <c r="I55" s="38" t="str">
        <f t="array" ref="I55">IFERROR(INDEX(Fichier_initial,SMALL(IF(Id_Impression=$A55,ROW(Fichier_initial)-MIN(ROW(Fichier_initial))+1),COLUMNS($A55:F55))),"")</f>
        <v/>
      </c>
      <c r="J55" s="38" t="str">
        <f t="array" ref="J55">IFERROR(INDEX(Fichier_initial,SMALL(IF(Id_Impression=$A55,ROW(Fichier_initial)-MIN(ROW(Fichier_initial))+1),COLUMNS($A55:G55))),"")</f>
        <v/>
      </c>
      <c r="K55" s="39">
        <f t="array" ref="K55">IFERROR(INDEX(Temps_Total,SMALL(IF(Id_Impression=$A55,ROW(Temps_Total)-MIN(ROW(Temps_Total))+1),COLUMNS($A$3:A55))),"")</f>
        <v>0.16666666666666666</v>
      </c>
      <c r="L55" s="39" t="str">
        <f t="array" ref="L55">IFERROR(INDEX(Temps_Total,SMALL(IF(Id_Impression=$A55,ROW(Temps_Total)-MIN(ROW(Temps_Total))+1),COLUMNS($A$3:B55))),"")</f>
        <v/>
      </c>
      <c r="M55" s="39" t="str">
        <f t="array" ref="M55">IFERROR(INDEX(Temps_Total,SMALL(IF(Id_Impression=$A55,ROW(Temps_Total)-MIN(ROW(Temps_Total))+1),COLUMNS($A$3:C55))),"")</f>
        <v/>
      </c>
      <c r="N55" s="39" t="str">
        <f t="array" ref="N55">IFERROR(INDEX(Temps_Total,SMALL(IF(Id_Impression=$A55,ROW(Temps_Total)-MIN(ROW(Temps_Total))+1),COLUMNS($A$3:D55))),"")</f>
        <v/>
      </c>
      <c r="O55" s="39" t="str">
        <f t="array" ref="O55">IFERROR(INDEX(Temps_Total,SMALL(IF(Id_Impression=$A55,ROW(Temps_Total)-MIN(ROW(Temps_Total))+1),COLUMNS($A$3:E55))),"")</f>
        <v/>
      </c>
      <c r="P55" s="39" t="str">
        <f t="array" ref="P55">IFERROR(INDEX(Temps_Total,SMALL(IF(Id_Impression=$A55,ROW(Temps_Total)-MIN(ROW(Temps_Total))+1),COLUMNS($A$3:F55))),"")</f>
        <v/>
      </c>
      <c r="Q55" s="39" t="str">
        <f t="array" ref="Q55">IFERROR(INDEX(Temps_Total,SMALL(IF(Id_Impression=$A55,ROW(Temps_Total)-MIN(ROW(Temps_Total))+1),COLUMNS($A$3:G55))),"")</f>
        <v/>
      </c>
      <c r="R55" s="38">
        <f t="array" ref="R55">IFERROR(INDEX(Quantité_à_imprimer_12_2017,SMALL(IF(Id_Impression=$A55,ROW(Quantité_à_imprimer_12_2017)-MIN(ROW(Quantité_à_imprimer_12_2017))+1),COLUMNS($A$3:A55))),"")</f>
        <v>1</v>
      </c>
      <c r="S55" s="38" t="str">
        <f t="array" ref="S55">IFERROR(INDEX(Quantité_à_imprimer_12_2017,SMALL(IF(Id_Impression=$A55,ROW(Quantité_à_imprimer_12_2017)-MIN(ROW(Quantité_à_imprimer_12_2017))+1),COLUMNS($A$3:B55))),"")</f>
        <v/>
      </c>
      <c r="T55" s="38" t="str">
        <f t="array" ref="T55">IFERROR(INDEX(Quantité_à_imprimer_12_2017,SMALL(IF(Id_Impression=$A55,ROW(Quantité_à_imprimer_12_2017)-MIN(ROW(Quantité_à_imprimer_12_2017))+1),COLUMNS($A$3:C55))),"")</f>
        <v/>
      </c>
      <c r="U55" s="38" t="str">
        <f t="array" ref="U55">IFERROR(INDEX(Quantité_à_imprimer_12_2017,SMALL(IF(Id_Impression=$A55,ROW(Quantité_à_imprimer_12_2017)-MIN(ROW(Quantité_à_imprimer_12_2017))+1),COLUMNS($A$3:D55))),"")</f>
        <v/>
      </c>
      <c r="V55" s="38" t="str">
        <f t="array" ref="V55">IFERROR(INDEX(Quantité_à_imprimer_12_2017,SMALL(IF(Id_Impression=$A55,ROW(Quantité_à_imprimer_12_2017)-MIN(ROW(Quantité_à_imprimer_12_2017))+1),COLUMNS($A$3:E55))),"")</f>
        <v/>
      </c>
      <c r="W55" s="38" t="str">
        <f t="array" ref="W55">IFERROR(INDEX(Quantité_à_imprimer_12_2017,SMALL(IF(Id_Impression=$A55,ROW(Quantité_à_imprimer_12_2017)-MIN(ROW(Quantité_à_imprimer_12_2017))+1),COLUMNS($A$3:F55))),"")</f>
        <v/>
      </c>
      <c r="X55" s="38" t="str">
        <f t="array" ref="X55">IFERROR(INDEX(Quantité_à_imprimer_12_2017,SMALL(IF(Id_Impression=$A55,ROW(Quantité_à_imprimer_12_2017)-MIN(ROW(Quantité_à_imprimer_12_2017))+1),COLUMNS($A$3:G55))),"")</f>
        <v/>
      </c>
    </row>
    <row r="56" spans="1:24" x14ac:dyDescent="0.55000000000000004">
      <c r="A56" s="40">
        <v>54</v>
      </c>
      <c r="B56" s="36">
        <f t="shared" si="0"/>
        <v>0.17083333333333331</v>
      </c>
      <c r="C56" s="37">
        <v>1</v>
      </c>
      <c r="D56" s="38" t="str">
        <f t="array" ref="D56">IFERROR(INDEX(Fichier_initial,SMALL(IF(Id_Impression=$A56,ROW(Fichier_initial)-MIN(ROW(Fichier_initial))+1),COLUMNS($A56:A56))),"")</f>
        <v>MiddleChest+PIRV1</v>
      </c>
      <c r="E56" s="38" t="str">
        <f t="array" ref="E56">IFERROR(INDEX(Fichier_initial,SMALL(IF(Id_Impression=$A56,ROW(Fichier_initial)-MIN(ROW(Fichier_initial))+1),COLUMNS($A56:B56))),"")</f>
        <v/>
      </c>
      <c r="F56" s="38" t="str">
        <f t="array" ref="F56">IFERROR(INDEX(Fichier_initial,SMALL(IF(Id_Impression=$A56,ROW(Fichier_initial)-MIN(ROW(Fichier_initial))+1),COLUMNS($A56:C56))),"")</f>
        <v/>
      </c>
      <c r="G56" s="38" t="str">
        <f t="array" ref="G56">IFERROR(INDEX(Fichier_initial,SMALL(IF(Id_Impression=$A56,ROW(Fichier_initial)-MIN(ROW(Fichier_initial))+1),COLUMNS($A56:D56))),"")</f>
        <v/>
      </c>
      <c r="H56" s="38" t="str">
        <f t="array" ref="H56">IFERROR(INDEX(Fichier_initial,SMALL(IF(Id_Impression=$A56,ROW(Fichier_initial)-MIN(ROW(Fichier_initial))+1),COLUMNS($A56:E56))),"")</f>
        <v/>
      </c>
      <c r="I56" s="38" t="str">
        <f t="array" ref="I56">IFERROR(INDEX(Fichier_initial,SMALL(IF(Id_Impression=$A56,ROW(Fichier_initial)-MIN(ROW(Fichier_initial))+1),COLUMNS($A56:F56))),"")</f>
        <v/>
      </c>
      <c r="J56" s="38" t="str">
        <f t="array" ref="J56">IFERROR(INDEX(Fichier_initial,SMALL(IF(Id_Impression=$A56,ROW(Fichier_initial)-MIN(ROW(Fichier_initial))+1),COLUMNS($A56:G56))),"")</f>
        <v/>
      </c>
      <c r="K56" s="39">
        <f t="array" ref="K56">IFERROR(INDEX(Temps_Total,SMALL(IF(Id_Impression=$A56,ROW(Temps_Total)-MIN(ROW(Temps_Total))+1),COLUMNS($A$3:A56))),"")</f>
        <v>0.17083333333333331</v>
      </c>
      <c r="L56" s="39" t="str">
        <f t="array" ref="L56">IFERROR(INDEX(Temps_Total,SMALL(IF(Id_Impression=$A56,ROW(Temps_Total)-MIN(ROW(Temps_Total))+1),COLUMNS($A$3:B56))),"")</f>
        <v/>
      </c>
      <c r="M56" s="39" t="str">
        <f t="array" ref="M56">IFERROR(INDEX(Temps_Total,SMALL(IF(Id_Impression=$A56,ROW(Temps_Total)-MIN(ROW(Temps_Total))+1),COLUMNS($A$3:C56))),"")</f>
        <v/>
      </c>
      <c r="N56" s="39" t="str">
        <f t="array" ref="N56">IFERROR(INDEX(Temps_Total,SMALL(IF(Id_Impression=$A56,ROW(Temps_Total)-MIN(ROW(Temps_Total))+1),COLUMNS($A$3:D56))),"")</f>
        <v/>
      </c>
      <c r="O56" s="39" t="str">
        <f t="array" ref="O56">IFERROR(INDEX(Temps_Total,SMALL(IF(Id_Impression=$A56,ROW(Temps_Total)-MIN(ROW(Temps_Total))+1),COLUMNS($A$3:E56))),"")</f>
        <v/>
      </c>
      <c r="P56" s="39" t="str">
        <f t="array" ref="P56">IFERROR(INDEX(Temps_Total,SMALL(IF(Id_Impression=$A56,ROW(Temps_Total)-MIN(ROW(Temps_Total))+1),COLUMNS($A$3:F56))),"")</f>
        <v/>
      </c>
      <c r="Q56" s="39" t="str">
        <f t="array" ref="Q56">IFERROR(INDEX(Temps_Total,SMALL(IF(Id_Impression=$A56,ROW(Temps_Total)-MIN(ROW(Temps_Total))+1),COLUMNS($A$3:G56))),"")</f>
        <v/>
      </c>
      <c r="R56" s="38">
        <f t="array" ref="R56">IFERROR(INDEX(Quantité_à_imprimer_12_2017,SMALL(IF(Id_Impression=$A56,ROW(Quantité_à_imprimer_12_2017)-MIN(ROW(Quantité_à_imprimer_12_2017))+1),COLUMNS($A$3:A56))),"")</f>
        <v>1</v>
      </c>
      <c r="S56" s="38" t="str">
        <f t="array" ref="S56">IFERROR(INDEX(Quantité_à_imprimer_12_2017,SMALL(IF(Id_Impression=$A56,ROW(Quantité_à_imprimer_12_2017)-MIN(ROW(Quantité_à_imprimer_12_2017))+1),COLUMNS($A$3:B56))),"")</f>
        <v/>
      </c>
      <c r="T56" s="38" t="str">
        <f t="array" ref="T56">IFERROR(INDEX(Quantité_à_imprimer_12_2017,SMALL(IF(Id_Impression=$A56,ROW(Quantité_à_imprimer_12_2017)-MIN(ROW(Quantité_à_imprimer_12_2017))+1),COLUMNS($A$3:C56))),"")</f>
        <v/>
      </c>
      <c r="U56" s="38" t="str">
        <f t="array" ref="U56">IFERROR(INDEX(Quantité_à_imprimer_12_2017,SMALL(IF(Id_Impression=$A56,ROW(Quantité_à_imprimer_12_2017)-MIN(ROW(Quantité_à_imprimer_12_2017))+1),COLUMNS($A$3:D56))),"")</f>
        <v/>
      </c>
      <c r="V56" s="38" t="str">
        <f t="array" ref="V56">IFERROR(INDEX(Quantité_à_imprimer_12_2017,SMALL(IF(Id_Impression=$A56,ROW(Quantité_à_imprimer_12_2017)-MIN(ROW(Quantité_à_imprimer_12_2017))+1),COLUMNS($A$3:E56))),"")</f>
        <v/>
      </c>
      <c r="W56" s="38" t="str">
        <f t="array" ref="W56">IFERROR(INDEX(Quantité_à_imprimer_12_2017,SMALL(IF(Id_Impression=$A56,ROW(Quantité_à_imprimer_12_2017)-MIN(ROW(Quantité_à_imprimer_12_2017))+1),COLUMNS($A$3:F56))),"")</f>
        <v/>
      </c>
      <c r="X56" s="38" t="str">
        <f t="array" ref="X56">IFERROR(INDEX(Quantité_à_imprimer_12_2017,SMALL(IF(Id_Impression=$A56,ROW(Quantité_à_imprimer_12_2017)-MIN(ROW(Quantité_à_imprimer_12_2017))+1),COLUMNS($A$3:G56))),"")</f>
        <v/>
      </c>
    </row>
    <row r="57" spans="1:24" x14ac:dyDescent="0.55000000000000004">
      <c r="A57" s="40">
        <v>56</v>
      </c>
      <c r="B57" s="36">
        <f t="shared" si="0"/>
        <v>0.22013888888888888</v>
      </c>
      <c r="C57" s="37">
        <v>2</v>
      </c>
      <c r="D57" s="38" t="str">
        <f t="array" ref="D57">IFERROR(INDEX(Fichier_initial,SMALL(IF(Id_Impression=$A57,ROW(Fichier_initial)-MIN(ROW(Fichier_initial))+1),COLUMNS($A57:A57))),"")</f>
        <v>ChestRightV1</v>
      </c>
      <c r="E57" s="38" t="str">
        <f t="array" ref="E57">IFERROR(INDEX(Fichier_initial,SMALL(IF(Id_Impression=$A57,ROW(Fichier_initial)-MIN(ROW(Fichier_initial))+1),COLUMNS($A57:B57))),"")</f>
        <v/>
      </c>
      <c r="F57" s="38" t="str">
        <f t="array" ref="F57">IFERROR(INDEX(Fichier_initial,SMALL(IF(Id_Impression=$A57,ROW(Fichier_initial)-MIN(ROW(Fichier_initial))+1),COLUMNS($A57:C57))),"")</f>
        <v/>
      </c>
      <c r="G57" s="38" t="str">
        <f t="array" ref="G57">IFERROR(INDEX(Fichier_initial,SMALL(IF(Id_Impression=$A57,ROW(Fichier_initial)-MIN(ROW(Fichier_initial))+1),COLUMNS($A57:D57))),"")</f>
        <v/>
      </c>
      <c r="H57" s="38" t="str">
        <f t="array" ref="H57">IFERROR(INDEX(Fichier_initial,SMALL(IF(Id_Impression=$A57,ROW(Fichier_initial)-MIN(ROW(Fichier_initial))+1),COLUMNS($A57:E57))),"")</f>
        <v/>
      </c>
      <c r="I57" s="38" t="str">
        <f t="array" ref="I57">IFERROR(INDEX(Fichier_initial,SMALL(IF(Id_Impression=$A57,ROW(Fichier_initial)-MIN(ROW(Fichier_initial))+1),COLUMNS($A57:F57))),"")</f>
        <v/>
      </c>
      <c r="J57" s="38" t="str">
        <f t="array" ref="J57">IFERROR(INDEX(Fichier_initial,SMALL(IF(Id_Impression=$A57,ROW(Fichier_initial)-MIN(ROW(Fichier_initial))+1),COLUMNS($A57:G57))),"")</f>
        <v/>
      </c>
      <c r="K57" s="39">
        <f t="array" ref="K57">IFERROR(INDEX(Temps_Total,SMALL(IF(Id_Impression=$A57,ROW(Temps_Total)-MIN(ROW(Temps_Total))+1),COLUMNS($A$3:A57))),"")</f>
        <v>0.22013888888888888</v>
      </c>
      <c r="L57" s="39" t="str">
        <f t="array" ref="L57">IFERROR(INDEX(Temps_Total,SMALL(IF(Id_Impression=$A57,ROW(Temps_Total)-MIN(ROW(Temps_Total))+1),COLUMNS($A$3:B57))),"")</f>
        <v/>
      </c>
      <c r="M57" s="39" t="str">
        <f t="array" ref="M57">IFERROR(INDEX(Temps_Total,SMALL(IF(Id_Impression=$A57,ROW(Temps_Total)-MIN(ROW(Temps_Total))+1),COLUMNS($A$3:C57))),"")</f>
        <v/>
      </c>
      <c r="N57" s="39" t="str">
        <f t="array" ref="N57">IFERROR(INDEX(Temps_Total,SMALL(IF(Id_Impression=$A57,ROW(Temps_Total)-MIN(ROW(Temps_Total))+1),COLUMNS($A$3:D57))),"")</f>
        <v/>
      </c>
      <c r="O57" s="39" t="str">
        <f t="array" ref="O57">IFERROR(INDEX(Temps_Total,SMALL(IF(Id_Impression=$A57,ROW(Temps_Total)-MIN(ROW(Temps_Total))+1),COLUMNS($A$3:E57))),"")</f>
        <v/>
      </c>
      <c r="P57" s="39" t="str">
        <f t="array" ref="P57">IFERROR(INDEX(Temps_Total,SMALL(IF(Id_Impression=$A57,ROW(Temps_Total)-MIN(ROW(Temps_Total))+1),COLUMNS($A$3:F57))),"")</f>
        <v/>
      </c>
      <c r="Q57" s="39" t="str">
        <f t="array" ref="Q57">IFERROR(INDEX(Temps_Total,SMALL(IF(Id_Impression=$A57,ROW(Temps_Total)-MIN(ROW(Temps_Total))+1),COLUMNS($A$3:G57))),"")</f>
        <v/>
      </c>
      <c r="R57" s="38">
        <f t="array" ref="R57">IFERROR(INDEX(Quantité_à_imprimer_12_2017,SMALL(IF(Id_Impression=$A57,ROW(Quantité_à_imprimer_12_2017)-MIN(ROW(Quantité_à_imprimer_12_2017))+1),COLUMNS($A$3:A57))),"")</f>
        <v>1</v>
      </c>
      <c r="S57" s="38" t="str">
        <f t="array" ref="S57">IFERROR(INDEX(Quantité_à_imprimer_12_2017,SMALL(IF(Id_Impression=$A57,ROW(Quantité_à_imprimer_12_2017)-MIN(ROW(Quantité_à_imprimer_12_2017))+1),COLUMNS($A$3:B57))),"")</f>
        <v/>
      </c>
      <c r="T57" s="38" t="str">
        <f t="array" ref="T57">IFERROR(INDEX(Quantité_à_imprimer_12_2017,SMALL(IF(Id_Impression=$A57,ROW(Quantité_à_imprimer_12_2017)-MIN(ROW(Quantité_à_imprimer_12_2017))+1),COLUMNS($A$3:C57))),"")</f>
        <v/>
      </c>
      <c r="U57" s="38" t="str">
        <f t="array" ref="U57">IFERROR(INDEX(Quantité_à_imprimer_12_2017,SMALL(IF(Id_Impression=$A57,ROW(Quantité_à_imprimer_12_2017)-MIN(ROW(Quantité_à_imprimer_12_2017))+1),COLUMNS($A$3:D57))),"")</f>
        <v/>
      </c>
      <c r="V57" s="38" t="str">
        <f t="array" ref="V57">IFERROR(INDEX(Quantité_à_imprimer_12_2017,SMALL(IF(Id_Impression=$A57,ROW(Quantité_à_imprimer_12_2017)-MIN(ROW(Quantité_à_imprimer_12_2017))+1),COLUMNS($A$3:E57))),"")</f>
        <v/>
      </c>
      <c r="W57" s="38" t="str">
        <f t="array" ref="W57">IFERROR(INDEX(Quantité_à_imprimer_12_2017,SMALL(IF(Id_Impression=$A57,ROW(Quantité_à_imprimer_12_2017)-MIN(ROW(Quantité_à_imprimer_12_2017))+1),COLUMNS($A$3:F57))),"")</f>
        <v/>
      </c>
      <c r="X57" s="38" t="str">
        <f t="array" ref="X57">IFERROR(INDEX(Quantité_à_imprimer_12_2017,SMALL(IF(Id_Impression=$A57,ROW(Quantité_à_imprimer_12_2017)-MIN(ROW(Quantité_à_imprimer_12_2017))+1),COLUMNS($A$3:G57))),"")</f>
        <v/>
      </c>
    </row>
    <row r="58" spans="1:24" x14ac:dyDescent="0.55000000000000004">
      <c r="A58" s="40">
        <v>57</v>
      </c>
      <c r="B58" s="36">
        <f t="shared" si="0"/>
        <v>0.24861111111111112</v>
      </c>
      <c r="C58" s="37">
        <v>1</v>
      </c>
      <c r="D58" s="38" t="str">
        <f t="array" ref="D58">IFERROR(INDEX(Fichier_initial,SMALL(IF(Id_Impression=$A58,ROW(Fichier_initial)-MIN(ROW(Fichier_initial))+1),COLUMNS($A58:A58))),"")</f>
        <v>UnderKinectV1</v>
      </c>
      <c r="E58" s="38" t="str">
        <f t="array" ref="E58">IFERROR(INDEX(Fichier_initial,SMALL(IF(Id_Impression=$A58,ROW(Fichier_initial)-MIN(ROW(Fichier_initial))+1),COLUMNS($A58:B58))),"")</f>
        <v/>
      </c>
      <c r="F58" s="38" t="str">
        <f t="array" ref="F58">IFERROR(INDEX(Fichier_initial,SMALL(IF(Id_Impression=$A58,ROW(Fichier_initial)-MIN(ROW(Fichier_initial))+1),COLUMNS($A58:C58))),"")</f>
        <v/>
      </c>
      <c r="G58" s="38" t="str">
        <f t="array" ref="G58">IFERROR(INDEX(Fichier_initial,SMALL(IF(Id_Impression=$A58,ROW(Fichier_initial)-MIN(ROW(Fichier_initial))+1),COLUMNS($A58:D58))),"")</f>
        <v/>
      </c>
      <c r="H58" s="38" t="str">
        <f t="array" ref="H58">IFERROR(INDEX(Fichier_initial,SMALL(IF(Id_Impression=$A58,ROW(Fichier_initial)-MIN(ROW(Fichier_initial))+1),COLUMNS($A58:E58))),"")</f>
        <v/>
      </c>
      <c r="I58" s="38" t="str">
        <f t="array" ref="I58">IFERROR(INDEX(Fichier_initial,SMALL(IF(Id_Impression=$A58,ROW(Fichier_initial)-MIN(ROW(Fichier_initial))+1),COLUMNS($A58:F58))),"")</f>
        <v/>
      </c>
      <c r="J58" s="38" t="str">
        <f t="array" ref="J58">IFERROR(INDEX(Fichier_initial,SMALL(IF(Id_Impression=$A58,ROW(Fichier_initial)-MIN(ROW(Fichier_initial))+1),COLUMNS($A58:G58))),"")</f>
        <v/>
      </c>
      <c r="K58" s="39">
        <f t="array" ref="K58">IFERROR(INDEX(Temps_Total,SMALL(IF(Id_Impression=$A58,ROW(Temps_Total)-MIN(ROW(Temps_Total))+1),COLUMNS($A$3:A58))),"")</f>
        <v>0.24861111111111112</v>
      </c>
      <c r="L58" s="39" t="str">
        <f t="array" ref="L58">IFERROR(INDEX(Temps_Total,SMALL(IF(Id_Impression=$A58,ROW(Temps_Total)-MIN(ROW(Temps_Total))+1),COLUMNS($A$3:B58))),"")</f>
        <v/>
      </c>
      <c r="M58" s="39" t="str">
        <f t="array" ref="M58">IFERROR(INDEX(Temps_Total,SMALL(IF(Id_Impression=$A58,ROW(Temps_Total)-MIN(ROW(Temps_Total))+1),COLUMNS($A$3:C58))),"")</f>
        <v/>
      </c>
      <c r="N58" s="39" t="str">
        <f t="array" ref="N58">IFERROR(INDEX(Temps_Total,SMALL(IF(Id_Impression=$A58,ROW(Temps_Total)-MIN(ROW(Temps_Total))+1),COLUMNS($A$3:D58))),"")</f>
        <v/>
      </c>
      <c r="O58" s="39" t="str">
        <f t="array" ref="O58">IFERROR(INDEX(Temps_Total,SMALL(IF(Id_Impression=$A58,ROW(Temps_Total)-MIN(ROW(Temps_Total))+1),COLUMNS($A$3:E58))),"")</f>
        <v/>
      </c>
      <c r="P58" s="39" t="str">
        <f t="array" ref="P58">IFERROR(INDEX(Temps_Total,SMALL(IF(Id_Impression=$A58,ROW(Temps_Total)-MIN(ROW(Temps_Total))+1),COLUMNS($A$3:F58))),"")</f>
        <v/>
      </c>
      <c r="Q58" s="39" t="str">
        <f t="array" ref="Q58">IFERROR(INDEX(Temps_Total,SMALL(IF(Id_Impression=$A58,ROW(Temps_Total)-MIN(ROW(Temps_Total))+1),COLUMNS($A$3:G58))),"")</f>
        <v/>
      </c>
      <c r="R58" s="38">
        <f t="array" ref="R58">IFERROR(INDEX(Quantité_à_imprimer_12_2017,SMALL(IF(Id_Impression=$A58,ROW(Quantité_à_imprimer_12_2017)-MIN(ROW(Quantité_à_imprimer_12_2017))+1),COLUMNS($A$3:A58))),"")</f>
        <v>1</v>
      </c>
      <c r="S58" s="38" t="str">
        <f t="array" ref="S58">IFERROR(INDEX(Quantité_à_imprimer_12_2017,SMALL(IF(Id_Impression=$A58,ROW(Quantité_à_imprimer_12_2017)-MIN(ROW(Quantité_à_imprimer_12_2017))+1),COLUMNS($A$3:B58))),"")</f>
        <v/>
      </c>
      <c r="T58" s="38" t="str">
        <f t="array" ref="T58">IFERROR(INDEX(Quantité_à_imprimer_12_2017,SMALL(IF(Id_Impression=$A58,ROW(Quantité_à_imprimer_12_2017)-MIN(ROW(Quantité_à_imprimer_12_2017))+1),COLUMNS($A$3:C58))),"")</f>
        <v/>
      </c>
      <c r="U58" s="38" t="str">
        <f t="array" ref="U58">IFERROR(INDEX(Quantité_à_imprimer_12_2017,SMALL(IF(Id_Impression=$A58,ROW(Quantité_à_imprimer_12_2017)-MIN(ROW(Quantité_à_imprimer_12_2017))+1),COLUMNS($A$3:D58))),"")</f>
        <v/>
      </c>
      <c r="V58" s="38" t="str">
        <f t="array" ref="V58">IFERROR(INDEX(Quantité_à_imprimer_12_2017,SMALL(IF(Id_Impression=$A58,ROW(Quantité_à_imprimer_12_2017)-MIN(ROW(Quantité_à_imprimer_12_2017))+1),COLUMNS($A$3:E58))),"")</f>
        <v/>
      </c>
      <c r="W58" s="38" t="str">
        <f t="array" ref="W58">IFERROR(INDEX(Quantité_à_imprimer_12_2017,SMALL(IF(Id_Impression=$A58,ROW(Quantité_à_imprimer_12_2017)-MIN(ROW(Quantité_à_imprimer_12_2017))+1),COLUMNS($A$3:F58))),"")</f>
        <v/>
      </c>
      <c r="X58" s="38" t="str">
        <f t="array" ref="X58">IFERROR(INDEX(Quantité_à_imprimer_12_2017,SMALL(IF(Id_Impression=$A58,ROW(Quantité_à_imprimer_12_2017)-MIN(ROW(Quantité_à_imprimer_12_2017))+1),COLUMNS($A$3:G58))),"")</f>
        <v/>
      </c>
    </row>
    <row r="59" spans="1:24" x14ac:dyDescent="0.55000000000000004">
      <c r="A59" s="40">
        <v>58</v>
      </c>
      <c r="B59" s="36">
        <f t="shared" si="0"/>
        <v>0.31736111111111115</v>
      </c>
      <c r="C59" s="37">
        <v>1</v>
      </c>
      <c r="D59" s="38" t="str">
        <f t="array" ref="D59">IFERROR(INDEX(Fichier_initial,SMALL(IF(Id_Impression=$A59,ROW(Fichier_initial)-MIN(ROW(Fichier_initial))+1),COLUMNS($A59:A59))),"")</f>
        <v>SideRibsCoverV2</v>
      </c>
      <c r="E59" s="38" t="str">
        <f t="array" ref="E59">IFERROR(INDEX(Fichier_initial,SMALL(IF(Id_Impression=$A59,ROW(Fichier_initial)-MIN(ROW(Fichier_initial))+1),COLUMNS($A59:B59))),"")</f>
        <v/>
      </c>
      <c r="F59" s="38" t="str">
        <f t="array" ref="F59">IFERROR(INDEX(Fichier_initial,SMALL(IF(Id_Impression=$A59,ROW(Fichier_initial)-MIN(ROW(Fichier_initial))+1),COLUMNS($A59:C59))),"")</f>
        <v/>
      </c>
      <c r="G59" s="38" t="str">
        <f t="array" ref="G59">IFERROR(INDEX(Fichier_initial,SMALL(IF(Id_Impression=$A59,ROW(Fichier_initial)-MIN(ROW(Fichier_initial))+1),COLUMNS($A59:D59))),"")</f>
        <v/>
      </c>
      <c r="H59" s="38" t="str">
        <f t="array" ref="H59">IFERROR(INDEX(Fichier_initial,SMALL(IF(Id_Impression=$A59,ROW(Fichier_initial)-MIN(ROW(Fichier_initial))+1),COLUMNS($A59:E59))),"")</f>
        <v/>
      </c>
      <c r="I59" s="38" t="str">
        <f t="array" ref="I59">IFERROR(INDEX(Fichier_initial,SMALL(IF(Id_Impression=$A59,ROW(Fichier_initial)-MIN(ROW(Fichier_initial))+1),COLUMNS($A59:F59))),"")</f>
        <v/>
      </c>
      <c r="J59" s="38" t="str">
        <f t="array" ref="J59">IFERROR(INDEX(Fichier_initial,SMALL(IF(Id_Impression=$A59,ROW(Fichier_initial)-MIN(ROW(Fichier_initial))+1),COLUMNS($A59:G59))),"")</f>
        <v/>
      </c>
      <c r="K59" s="39">
        <f t="array" ref="K59">IFERROR(INDEX(Temps_Total,SMALL(IF(Id_Impression=$A59,ROW(Temps_Total)-MIN(ROW(Temps_Total))+1),COLUMNS($A$3:A59))),"")</f>
        <v>0.31736111111111115</v>
      </c>
      <c r="L59" s="39" t="str">
        <f t="array" ref="L59">IFERROR(INDEX(Temps_Total,SMALL(IF(Id_Impression=$A59,ROW(Temps_Total)-MIN(ROW(Temps_Total))+1),COLUMNS($A$3:B59))),"")</f>
        <v/>
      </c>
      <c r="M59" s="39" t="str">
        <f t="array" ref="M59">IFERROR(INDEX(Temps_Total,SMALL(IF(Id_Impression=$A59,ROW(Temps_Total)-MIN(ROW(Temps_Total))+1),COLUMNS($A$3:C59))),"")</f>
        <v/>
      </c>
      <c r="N59" s="39" t="str">
        <f t="array" ref="N59">IFERROR(INDEX(Temps_Total,SMALL(IF(Id_Impression=$A59,ROW(Temps_Total)-MIN(ROW(Temps_Total))+1),COLUMNS($A$3:D59))),"")</f>
        <v/>
      </c>
      <c r="O59" s="39" t="str">
        <f t="array" ref="O59">IFERROR(INDEX(Temps_Total,SMALL(IF(Id_Impression=$A59,ROW(Temps_Total)-MIN(ROW(Temps_Total))+1),COLUMNS($A$3:E59))),"")</f>
        <v/>
      </c>
      <c r="P59" s="39" t="str">
        <f t="array" ref="P59">IFERROR(INDEX(Temps_Total,SMALL(IF(Id_Impression=$A59,ROW(Temps_Total)-MIN(ROW(Temps_Total))+1),COLUMNS($A$3:F59))),"")</f>
        <v/>
      </c>
      <c r="Q59" s="39" t="str">
        <f t="array" ref="Q59">IFERROR(INDEX(Temps_Total,SMALL(IF(Id_Impression=$A59,ROW(Temps_Total)-MIN(ROW(Temps_Total))+1),COLUMNS($A$3:G59))),"")</f>
        <v/>
      </c>
      <c r="R59" s="38">
        <f t="array" ref="R59">IFERROR(INDEX(Quantité_à_imprimer_12_2017,SMALL(IF(Id_Impression=$A59,ROW(Quantité_à_imprimer_12_2017)-MIN(ROW(Quantité_à_imprimer_12_2017))+1),COLUMNS($A$3:A59))),"")</f>
        <v>1</v>
      </c>
      <c r="S59" s="38" t="str">
        <f t="array" ref="S59">IFERROR(INDEX(Quantité_à_imprimer_12_2017,SMALL(IF(Id_Impression=$A59,ROW(Quantité_à_imprimer_12_2017)-MIN(ROW(Quantité_à_imprimer_12_2017))+1),COLUMNS($A$3:B59))),"")</f>
        <v/>
      </c>
      <c r="T59" s="38" t="str">
        <f t="array" ref="T59">IFERROR(INDEX(Quantité_à_imprimer_12_2017,SMALL(IF(Id_Impression=$A59,ROW(Quantité_à_imprimer_12_2017)-MIN(ROW(Quantité_à_imprimer_12_2017))+1),COLUMNS($A$3:C59))),"")</f>
        <v/>
      </c>
      <c r="U59" s="38" t="str">
        <f t="array" ref="U59">IFERROR(INDEX(Quantité_à_imprimer_12_2017,SMALL(IF(Id_Impression=$A59,ROW(Quantité_à_imprimer_12_2017)-MIN(ROW(Quantité_à_imprimer_12_2017))+1),COLUMNS($A$3:D59))),"")</f>
        <v/>
      </c>
      <c r="V59" s="38" t="str">
        <f t="array" ref="V59">IFERROR(INDEX(Quantité_à_imprimer_12_2017,SMALL(IF(Id_Impression=$A59,ROW(Quantité_à_imprimer_12_2017)-MIN(ROW(Quantité_à_imprimer_12_2017))+1),COLUMNS($A$3:E59))),"")</f>
        <v/>
      </c>
      <c r="W59" s="38" t="str">
        <f t="array" ref="W59">IFERROR(INDEX(Quantité_à_imprimer_12_2017,SMALL(IF(Id_Impression=$A59,ROW(Quantité_à_imprimer_12_2017)-MIN(ROW(Quantité_à_imprimer_12_2017))+1),COLUMNS($A$3:F59))),"")</f>
        <v/>
      </c>
      <c r="X59" s="38" t="str">
        <f t="array" ref="X59">IFERROR(INDEX(Quantité_à_imprimer_12_2017,SMALL(IF(Id_Impression=$A59,ROW(Quantité_à_imprimer_12_2017)-MIN(ROW(Quantité_à_imprimer_12_2017))+1),COLUMNS($A$3:G59))),"")</f>
        <v/>
      </c>
    </row>
    <row r="60" spans="1:24" x14ac:dyDescent="0.55000000000000004">
      <c r="A60" s="40">
        <v>59</v>
      </c>
      <c r="B60" s="36">
        <f t="shared" si="0"/>
        <v>0.3743055555555555</v>
      </c>
      <c r="C60" s="37">
        <v>1</v>
      </c>
      <c r="D60" s="38" t="str">
        <f t="array" ref="D60">IFERROR(INDEX(Fichier_initial,SMALL(IF(Id_Impression=$A60,ROW(Fichier_initial)-MIN(ROW(Fichier_initial))+1),COLUMNS($A60:A60))),"")</f>
        <v>BottomChestV1</v>
      </c>
      <c r="E60" s="38" t="str">
        <f t="array" ref="E60">IFERROR(INDEX(Fichier_initial,SMALL(IF(Id_Impression=$A60,ROW(Fichier_initial)-MIN(ROW(Fichier_initial))+1),COLUMNS($A60:B60))),"")</f>
        <v/>
      </c>
      <c r="F60" s="38" t="str">
        <f t="array" ref="F60">IFERROR(INDEX(Fichier_initial,SMALL(IF(Id_Impression=$A60,ROW(Fichier_initial)-MIN(ROW(Fichier_initial))+1),COLUMNS($A60:C60))),"")</f>
        <v/>
      </c>
      <c r="G60" s="38" t="str">
        <f t="array" ref="G60">IFERROR(INDEX(Fichier_initial,SMALL(IF(Id_Impression=$A60,ROW(Fichier_initial)-MIN(ROW(Fichier_initial))+1),COLUMNS($A60:D60))),"")</f>
        <v/>
      </c>
      <c r="H60" s="38" t="str">
        <f t="array" ref="H60">IFERROR(INDEX(Fichier_initial,SMALL(IF(Id_Impression=$A60,ROW(Fichier_initial)-MIN(ROW(Fichier_initial))+1),COLUMNS($A60:E60))),"")</f>
        <v/>
      </c>
      <c r="I60" s="38" t="str">
        <f t="array" ref="I60">IFERROR(INDEX(Fichier_initial,SMALL(IF(Id_Impression=$A60,ROW(Fichier_initial)-MIN(ROW(Fichier_initial))+1),COLUMNS($A60:F60))),"")</f>
        <v/>
      </c>
      <c r="J60" s="38" t="str">
        <f t="array" ref="J60">IFERROR(INDEX(Fichier_initial,SMALL(IF(Id_Impression=$A60,ROW(Fichier_initial)-MIN(ROW(Fichier_initial))+1),COLUMNS($A60:G60))),"")</f>
        <v/>
      </c>
      <c r="K60" s="39">
        <f t="array" ref="K60">IFERROR(INDEX(Temps_Total,SMALL(IF(Id_Impression=$A60,ROW(Temps_Total)-MIN(ROW(Temps_Total))+1),COLUMNS($A$3:A60))),"")</f>
        <v>0.3743055555555555</v>
      </c>
      <c r="L60" s="39" t="str">
        <f t="array" ref="L60">IFERROR(INDEX(Temps_Total,SMALL(IF(Id_Impression=$A60,ROW(Temps_Total)-MIN(ROW(Temps_Total))+1),COLUMNS($A$3:B60))),"")</f>
        <v/>
      </c>
      <c r="M60" s="39" t="str">
        <f t="array" ref="M60">IFERROR(INDEX(Temps_Total,SMALL(IF(Id_Impression=$A60,ROW(Temps_Total)-MIN(ROW(Temps_Total))+1),COLUMNS($A$3:C60))),"")</f>
        <v/>
      </c>
      <c r="N60" s="39" t="str">
        <f t="array" ref="N60">IFERROR(INDEX(Temps_Total,SMALL(IF(Id_Impression=$A60,ROW(Temps_Total)-MIN(ROW(Temps_Total))+1),COLUMNS($A$3:D60))),"")</f>
        <v/>
      </c>
      <c r="O60" s="39" t="str">
        <f t="array" ref="O60">IFERROR(INDEX(Temps_Total,SMALL(IF(Id_Impression=$A60,ROW(Temps_Total)-MIN(ROW(Temps_Total))+1),COLUMNS($A$3:E60))),"")</f>
        <v/>
      </c>
      <c r="P60" s="39" t="str">
        <f t="array" ref="P60">IFERROR(INDEX(Temps_Total,SMALL(IF(Id_Impression=$A60,ROW(Temps_Total)-MIN(ROW(Temps_Total))+1),COLUMNS($A$3:F60))),"")</f>
        <v/>
      </c>
      <c r="Q60" s="39" t="str">
        <f t="array" ref="Q60">IFERROR(INDEX(Temps_Total,SMALL(IF(Id_Impression=$A60,ROW(Temps_Total)-MIN(ROW(Temps_Total))+1),COLUMNS($A$3:G60))),"")</f>
        <v/>
      </c>
      <c r="R60" s="38">
        <f t="array" ref="R60">IFERROR(INDEX(Quantité_à_imprimer_12_2017,SMALL(IF(Id_Impression=$A60,ROW(Quantité_à_imprimer_12_2017)-MIN(ROW(Quantité_à_imprimer_12_2017))+1),COLUMNS($A$3:A60))),"")</f>
        <v>1</v>
      </c>
      <c r="S60" s="38" t="str">
        <f t="array" ref="S60">IFERROR(INDEX(Quantité_à_imprimer_12_2017,SMALL(IF(Id_Impression=$A60,ROW(Quantité_à_imprimer_12_2017)-MIN(ROW(Quantité_à_imprimer_12_2017))+1),COLUMNS($A$3:B60))),"")</f>
        <v/>
      </c>
      <c r="T60" s="38" t="str">
        <f t="array" ref="T60">IFERROR(INDEX(Quantité_à_imprimer_12_2017,SMALL(IF(Id_Impression=$A60,ROW(Quantité_à_imprimer_12_2017)-MIN(ROW(Quantité_à_imprimer_12_2017))+1),COLUMNS($A$3:C60))),"")</f>
        <v/>
      </c>
      <c r="U60" s="38" t="str">
        <f t="array" ref="U60">IFERROR(INDEX(Quantité_à_imprimer_12_2017,SMALL(IF(Id_Impression=$A60,ROW(Quantité_à_imprimer_12_2017)-MIN(ROW(Quantité_à_imprimer_12_2017))+1),COLUMNS($A$3:D60))),"")</f>
        <v/>
      </c>
      <c r="V60" s="38" t="str">
        <f t="array" ref="V60">IFERROR(INDEX(Quantité_à_imprimer_12_2017,SMALL(IF(Id_Impression=$A60,ROW(Quantité_à_imprimer_12_2017)-MIN(ROW(Quantité_à_imprimer_12_2017))+1),COLUMNS($A$3:E60))),"")</f>
        <v/>
      </c>
      <c r="W60" s="38" t="str">
        <f t="array" ref="W60">IFERROR(INDEX(Quantité_à_imprimer_12_2017,SMALL(IF(Id_Impression=$A60,ROW(Quantité_à_imprimer_12_2017)-MIN(ROW(Quantité_à_imprimer_12_2017))+1),COLUMNS($A$3:F60))),"")</f>
        <v/>
      </c>
      <c r="X60" s="38" t="str">
        <f t="array" ref="X60">IFERROR(INDEX(Quantité_à_imprimer_12_2017,SMALL(IF(Id_Impression=$A60,ROW(Quantité_à_imprimer_12_2017)-MIN(ROW(Quantité_à_imprimer_12_2017))+1),COLUMNS($A$3:G60))),"")</f>
        <v/>
      </c>
    </row>
    <row r="61" spans="1:24" x14ac:dyDescent="0.55000000000000004">
      <c r="A61" s="40">
        <v>60</v>
      </c>
      <c r="B61" s="36">
        <f t="shared" si="0"/>
        <v>0.16666666666666669</v>
      </c>
      <c r="C61" s="37">
        <v>2</v>
      </c>
      <c r="D61" s="38" t="str">
        <f t="array" ref="D61">IFERROR(INDEX(Fichier_initial,SMALL(IF(Id_Impression=$A61,ROW(Fichier_initial)-MIN(ROW(Fichier_initial))+1),COLUMNS($A61:A61))),"")</f>
        <v>ChestTopAttachV1</v>
      </c>
      <c r="E61" s="38" t="str">
        <f t="array" ref="E61">IFERROR(INDEX(Fichier_initial,SMALL(IF(Id_Impression=$A61,ROW(Fichier_initial)-MIN(ROW(Fichier_initial))+1),COLUMNS($A61:B61))),"")</f>
        <v>ChestTopV1</v>
      </c>
      <c r="F61" s="38" t="str">
        <f t="array" ref="F61">IFERROR(INDEX(Fichier_initial,SMALL(IF(Id_Impression=$A61,ROW(Fichier_initial)-MIN(ROW(Fichier_initial))+1),COLUMNS($A61:C61))),"")</f>
        <v/>
      </c>
      <c r="G61" s="38" t="str">
        <f t="array" ref="G61">IFERROR(INDEX(Fichier_initial,SMALL(IF(Id_Impression=$A61,ROW(Fichier_initial)-MIN(ROW(Fichier_initial))+1),COLUMNS($A61:D61))),"")</f>
        <v/>
      </c>
      <c r="H61" s="38" t="str">
        <f t="array" ref="H61">IFERROR(INDEX(Fichier_initial,SMALL(IF(Id_Impression=$A61,ROW(Fichier_initial)-MIN(ROW(Fichier_initial))+1),COLUMNS($A61:E61))),"")</f>
        <v/>
      </c>
      <c r="I61" s="38" t="str">
        <f t="array" ref="I61">IFERROR(INDEX(Fichier_initial,SMALL(IF(Id_Impression=$A61,ROW(Fichier_initial)-MIN(ROW(Fichier_initial))+1),COLUMNS($A61:F61))),"")</f>
        <v/>
      </c>
      <c r="J61" s="38" t="str">
        <f t="array" ref="J61">IFERROR(INDEX(Fichier_initial,SMALL(IF(Id_Impression=$A61,ROW(Fichier_initial)-MIN(ROW(Fichier_initial))+1),COLUMNS($A61:G61))),"")</f>
        <v/>
      </c>
      <c r="K61" s="39">
        <f t="array" ref="K61">IFERROR(INDEX(Temps_Total,SMALL(IF(Id_Impression=$A61,ROW(Temps_Total)-MIN(ROW(Temps_Total))+1),COLUMNS($A$3:A61))),"")</f>
        <v>2.2222222222222223E-2</v>
      </c>
      <c r="L61" s="39">
        <f t="array" ref="L61">IFERROR(INDEX(Temps_Total,SMALL(IF(Id_Impression=$A61,ROW(Temps_Total)-MIN(ROW(Temps_Total))+1),COLUMNS($A$3:B61))),"")</f>
        <v>0.14444444444444446</v>
      </c>
      <c r="M61" s="39" t="str">
        <f t="array" ref="M61">IFERROR(INDEX(Temps_Total,SMALL(IF(Id_Impression=$A61,ROW(Temps_Total)-MIN(ROW(Temps_Total))+1),COLUMNS($A$3:C61))),"")</f>
        <v/>
      </c>
      <c r="N61" s="39" t="str">
        <f t="array" ref="N61">IFERROR(INDEX(Temps_Total,SMALL(IF(Id_Impression=$A61,ROW(Temps_Total)-MIN(ROW(Temps_Total))+1),COLUMNS($A$3:D61))),"")</f>
        <v/>
      </c>
      <c r="O61" s="39" t="str">
        <f t="array" ref="O61">IFERROR(INDEX(Temps_Total,SMALL(IF(Id_Impression=$A61,ROW(Temps_Total)-MIN(ROW(Temps_Total))+1),COLUMNS($A$3:E61))),"")</f>
        <v/>
      </c>
      <c r="P61" s="39" t="str">
        <f t="array" ref="P61">IFERROR(INDEX(Temps_Total,SMALL(IF(Id_Impression=$A61,ROW(Temps_Total)-MIN(ROW(Temps_Total))+1),COLUMNS($A$3:F61))),"")</f>
        <v/>
      </c>
      <c r="Q61" s="39" t="str">
        <f t="array" ref="Q61">IFERROR(INDEX(Temps_Total,SMALL(IF(Id_Impression=$A61,ROW(Temps_Total)-MIN(ROW(Temps_Total))+1),COLUMNS($A$3:G61))),"")</f>
        <v/>
      </c>
      <c r="R61" s="38">
        <f t="array" ref="R61">IFERROR(INDEX(Quantité_à_imprimer_12_2017,SMALL(IF(Id_Impression=$A61,ROW(Quantité_à_imprimer_12_2017)-MIN(ROW(Quantité_à_imprimer_12_2017))+1),COLUMNS($A$3:A61))),"")</f>
        <v>1</v>
      </c>
      <c r="S61" s="38">
        <f t="array" ref="S61">IFERROR(INDEX(Quantité_à_imprimer_12_2017,SMALL(IF(Id_Impression=$A61,ROW(Quantité_à_imprimer_12_2017)-MIN(ROW(Quantité_à_imprimer_12_2017))+1),COLUMNS($A$3:B61))),"")</f>
        <v>1</v>
      </c>
      <c r="T61" s="38" t="str">
        <f t="array" ref="T61">IFERROR(INDEX(Quantité_à_imprimer_12_2017,SMALL(IF(Id_Impression=$A61,ROW(Quantité_à_imprimer_12_2017)-MIN(ROW(Quantité_à_imprimer_12_2017))+1),COLUMNS($A$3:C61))),"")</f>
        <v/>
      </c>
      <c r="U61" s="38" t="str">
        <f t="array" ref="U61">IFERROR(INDEX(Quantité_à_imprimer_12_2017,SMALL(IF(Id_Impression=$A61,ROW(Quantité_à_imprimer_12_2017)-MIN(ROW(Quantité_à_imprimer_12_2017))+1),COLUMNS($A$3:D61))),"")</f>
        <v/>
      </c>
      <c r="V61" s="38" t="str">
        <f t="array" ref="V61">IFERROR(INDEX(Quantité_à_imprimer_12_2017,SMALL(IF(Id_Impression=$A61,ROW(Quantité_à_imprimer_12_2017)-MIN(ROW(Quantité_à_imprimer_12_2017))+1),COLUMNS($A$3:E61))),"")</f>
        <v/>
      </c>
      <c r="W61" s="38" t="str">
        <f t="array" ref="W61">IFERROR(INDEX(Quantité_à_imprimer_12_2017,SMALL(IF(Id_Impression=$A61,ROW(Quantité_à_imprimer_12_2017)-MIN(ROW(Quantité_à_imprimer_12_2017))+1),COLUMNS($A$3:F61))),"")</f>
        <v/>
      </c>
      <c r="X61" s="38" t="str">
        <f t="array" ref="X61">IFERROR(INDEX(Quantité_à_imprimer_12_2017,SMALL(IF(Id_Impression=$A61,ROW(Quantité_à_imprimer_12_2017)-MIN(ROW(Quantité_à_imprimer_12_2017))+1),COLUMNS($A$3:G61))),"")</f>
        <v/>
      </c>
    </row>
    <row r="62" spans="1:24" x14ac:dyDescent="0.55000000000000004">
      <c r="A62" s="40">
        <v>61</v>
      </c>
      <c r="B62" s="36">
        <f t="shared" si="0"/>
        <v>0.14166666666666666</v>
      </c>
      <c r="C62" s="37">
        <v>2</v>
      </c>
      <c r="D62" s="38" t="str">
        <f t="array" ref="D62">IFERROR(INDEX(Fichier_initial,SMALL(IF(Id_Impression=$A62,ROW(Fichier_initial)-MIN(ROW(Fichier_initial))+1),COLUMNS($A62:A62))),"")</f>
        <v>Typo</v>
      </c>
      <c r="E62" s="38" t="str">
        <f t="array" ref="E62">IFERROR(INDEX(Fichier_initial,SMALL(IF(Id_Impression=$A62,ROW(Fichier_initial)-MIN(ROW(Fichier_initial))+1),COLUMNS($A62:B62))),"")</f>
        <v>BatteryHolderRightV1</v>
      </c>
      <c r="F62" s="38" t="str">
        <f t="array" ref="F62">IFERROR(INDEX(Fichier_initial,SMALL(IF(Id_Impression=$A62,ROW(Fichier_initial)-MIN(ROW(Fichier_initial))+1),COLUMNS($A62:C62))),"")</f>
        <v/>
      </c>
      <c r="G62" s="38" t="str">
        <f t="array" ref="G62">IFERROR(INDEX(Fichier_initial,SMALL(IF(Id_Impression=$A62,ROW(Fichier_initial)-MIN(ROW(Fichier_initial))+1),COLUMNS($A62:D62))),"")</f>
        <v/>
      </c>
      <c r="H62" s="38" t="str">
        <f t="array" ref="H62">IFERROR(INDEX(Fichier_initial,SMALL(IF(Id_Impression=$A62,ROW(Fichier_initial)-MIN(ROW(Fichier_initial))+1),COLUMNS($A62:E62))),"")</f>
        <v/>
      </c>
      <c r="I62" s="38" t="str">
        <f t="array" ref="I62">IFERROR(INDEX(Fichier_initial,SMALL(IF(Id_Impression=$A62,ROW(Fichier_initial)-MIN(ROW(Fichier_initial))+1),COLUMNS($A62:F62))),"")</f>
        <v/>
      </c>
      <c r="J62" s="38" t="str">
        <f t="array" ref="J62">IFERROR(INDEX(Fichier_initial,SMALL(IF(Id_Impression=$A62,ROW(Fichier_initial)-MIN(ROW(Fichier_initial))+1),COLUMNS($A62:G62))),"")</f>
        <v/>
      </c>
      <c r="K62" s="39">
        <f t="array" ref="K62">IFERROR(INDEX(Temps_Total,SMALL(IF(Id_Impression=$A62,ROW(Temps_Total)-MIN(ROW(Temps_Total))+1),COLUMNS($A$3:A62))),"")</f>
        <v>3.6111111111111115E-2</v>
      </c>
      <c r="L62" s="39">
        <f t="array" ref="L62">IFERROR(INDEX(Temps_Total,SMALL(IF(Id_Impression=$A62,ROW(Temps_Total)-MIN(ROW(Temps_Total))+1),COLUMNS($A$3:B62))),"")</f>
        <v>0.10555555555555556</v>
      </c>
      <c r="M62" s="39" t="str">
        <f t="array" ref="M62">IFERROR(INDEX(Temps_Total,SMALL(IF(Id_Impression=$A62,ROW(Temps_Total)-MIN(ROW(Temps_Total))+1),COLUMNS($A$3:C62))),"")</f>
        <v/>
      </c>
      <c r="N62" s="39" t="str">
        <f t="array" ref="N62">IFERROR(INDEX(Temps_Total,SMALL(IF(Id_Impression=$A62,ROW(Temps_Total)-MIN(ROW(Temps_Total))+1),COLUMNS($A$3:D62))),"")</f>
        <v/>
      </c>
      <c r="O62" s="39" t="str">
        <f t="array" ref="O62">IFERROR(INDEX(Temps_Total,SMALL(IF(Id_Impression=$A62,ROW(Temps_Total)-MIN(ROW(Temps_Total))+1),COLUMNS($A$3:E62))),"")</f>
        <v/>
      </c>
      <c r="P62" s="39" t="str">
        <f t="array" ref="P62">IFERROR(INDEX(Temps_Total,SMALL(IF(Id_Impression=$A62,ROW(Temps_Total)-MIN(ROW(Temps_Total))+1),COLUMNS($A$3:F62))),"")</f>
        <v/>
      </c>
      <c r="Q62" s="39" t="str">
        <f t="array" ref="Q62">IFERROR(INDEX(Temps_Total,SMALL(IF(Id_Impression=$A62,ROW(Temps_Total)-MIN(ROW(Temps_Total))+1),COLUMNS($A$3:G62))),"")</f>
        <v/>
      </c>
      <c r="R62" s="38">
        <f t="array" ref="R62">IFERROR(INDEX(Quantité_à_imprimer_12_2017,SMALL(IF(Id_Impression=$A62,ROW(Quantité_à_imprimer_12_2017)-MIN(ROW(Quantité_à_imprimer_12_2017))+1),COLUMNS($A$3:A62))),"")</f>
        <v>1</v>
      </c>
      <c r="S62" s="38">
        <f t="array" ref="S62">IFERROR(INDEX(Quantité_à_imprimer_12_2017,SMALL(IF(Id_Impression=$A62,ROW(Quantité_à_imprimer_12_2017)-MIN(ROW(Quantité_à_imprimer_12_2017))+1),COLUMNS($A$3:B62))),"")</f>
        <v>1</v>
      </c>
      <c r="T62" s="38" t="str">
        <f t="array" ref="T62">IFERROR(INDEX(Quantité_à_imprimer_12_2017,SMALL(IF(Id_Impression=$A62,ROW(Quantité_à_imprimer_12_2017)-MIN(ROW(Quantité_à_imprimer_12_2017))+1),COLUMNS($A$3:C62))),"")</f>
        <v/>
      </c>
      <c r="U62" s="38" t="str">
        <f t="array" ref="U62">IFERROR(INDEX(Quantité_à_imprimer_12_2017,SMALL(IF(Id_Impression=$A62,ROW(Quantité_à_imprimer_12_2017)-MIN(ROW(Quantité_à_imprimer_12_2017))+1),COLUMNS($A$3:D62))),"")</f>
        <v/>
      </c>
      <c r="V62" s="38" t="str">
        <f t="array" ref="V62">IFERROR(INDEX(Quantité_à_imprimer_12_2017,SMALL(IF(Id_Impression=$A62,ROW(Quantité_à_imprimer_12_2017)-MIN(ROW(Quantité_à_imprimer_12_2017))+1),COLUMNS($A$3:E62))),"")</f>
        <v/>
      </c>
      <c r="W62" s="38" t="str">
        <f t="array" ref="W62">IFERROR(INDEX(Quantité_à_imprimer_12_2017,SMALL(IF(Id_Impression=$A62,ROW(Quantité_à_imprimer_12_2017)-MIN(ROW(Quantité_à_imprimer_12_2017))+1),COLUMNS($A$3:F62))),"")</f>
        <v/>
      </c>
      <c r="X62" s="38" t="str">
        <f t="array" ref="X62">IFERROR(INDEX(Quantité_à_imprimer_12_2017,SMALL(IF(Id_Impression=$A62,ROW(Quantité_à_imprimer_12_2017)-MIN(ROW(Quantité_à_imprimer_12_2017))+1),COLUMNS($A$3:G62))),"")</f>
        <v/>
      </c>
    </row>
    <row r="63" spans="1:24" x14ac:dyDescent="0.55000000000000004">
      <c r="A63" s="40">
        <v>62</v>
      </c>
      <c r="B63" s="36">
        <f t="shared" si="0"/>
        <v>0.13472222222222222</v>
      </c>
      <c r="C63" s="37">
        <v>4</v>
      </c>
      <c r="D63" s="38" t="str">
        <f t="array" ref="D63">IFERROR(INDEX(Fichier_initial,SMALL(IF(Id_Impression=$A63,ROW(Fichier_initial)-MIN(ROW(Fichier_initial))+1),COLUMNS($A63:A63))),"")</f>
        <v>InMLeftV1</v>
      </c>
      <c r="E63" s="38" t="str">
        <f t="array" ref="E63">IFERROR(INDEX(Fichier_initial,SMALL(IF(Id_Impression=$A63,ROW(Fichier_initial)-MIN(ROW(Fichier_initial))+1),COLUMNS($A63:B63))),"")</f>
        <v>BatteryPusherV1</v>
      </c>
      <c r="F63" s="38" t="str">
        <f t="array" ref="F63">IFERROR(INDEX(Fichier_initial,SMALL(IF(Id_Impression=$A63,ROW(Fichier_initial)-MIN(ROW(Fichier_initial))+1),COLUMNS($A63:C63))),"")</f>
        <v>BackPowerV1</v>
      </c>
      <c r="G63" s="38" t="str">
        <f t="array" ref="G63">IFERROR(INDEX(Fichier_initial,SMALL(IF(Id_Impression=$A63,ROW(Fichier_initial)-MIN(ROW(Fichier_initial))+1),COLUMNS($A63:D63))),"")</f>
        <v>BackHolderLowLeftV1</v>
      </c>
      <c r="H63" s="38" t="str">
        <f t="array" ref="H63">IFERROR(INDEX(Fichier_initial,SMALL(IF(Id_Impression=$A63,ROW(Fichier_initial)-MIN(ROW(Fichier_initial))+1),COLUMNS($A63:E63))),"")</f>
        <v/>
      </c>
      <c r="I63" s="38" t="str">
        <f t="array" ref="I63">IFERROR(INDEX(Fichier_initial,SMALL(IF(Id_Impression=$A63,ROW(Fichier_initial)-MIN(ROW(Fichier_initial))+1),COLUMNS($A63:F63))),"")</f>
        <v/>
      </c>
      <c r="J63" s="38" t="str">
        <f t="array" ref="J63">IFERROR(INDEX(Fichier_initial,SMALL(IF(Id_Impression=$A63,ROW(Fichier_initial)-MIN(ROW(Fichier_initial))+1),COLUMNS($A63:G63))),"")</f>
        <v/>
      </c>
      <c r="K63" s="39">
        <f t="array" ref="K63">IFERROR(INDEX(Temps_Total,SMALL(IF(Id_Impression=$A63,ROW(Temps_Total)-MIN(ROW(Temps_Total))+1),COLUMNS($A$3:A63))),"")</f>
        <v>9.6527777777777768E-2</v>
      </c>
      <c r="L63" s="39">
        <f t="array" ref="L63">IFERROR(INDEX(Temps_Total,SMALL(IF(Id_Impression=$A63,ROW(Temps_Total)-MIN(ROW(Temps_Total))+1),COLUMNS($A$3:B63))),"")</f>
        <v>9.7222222222222224E-3</v>
      </c>
      <c r="M63" s="39">
        <f t="array" ref="M63">IFERROR(INDEX(Temps_Total,SMALL(IF(Id_Impression=$A63,ROW(Temps_Total)-MIN(ROW(Temps_Total))+1),COLUMNS($A$3:C63))),"")</f>
        <v>1.1111111111111112E-2</v>
      </c>
      <c r="N63" s="39">
        <f t="array" ref="N63">IFERROR(INDEX(Temps_Total,SMALL(IF(Id_Impression=$A63,ROW(Temps_Total)-MIN(ROW(Temps_Total))+1),COLUMNS($A$3:D63))),"")</f>
        <v>1.7361111111111112E-2</v>
      </c>
      <c r="O63" s="39" t="str">
        <f t="array" ref="O63">IFERROR(INDEX(Temps_Total,SMALL(IF(Id_Impression=$A63,ROW(Temps_Total)-MIN(ROW(Temps_Total))+1),COLUMNS($A$3:E63))),"")</f>
        <v/>
      </c>
      <c r="P63" s="39" t="str">
        <f t="array" ref="P63">IFERROR(INDEX(Temps_Total,SMALL(IF(Id_Impression=$A63,ROW(Temps_Total)-MIN(ROW(Temps_Total))+1),COLUMNS($A$3:F63))),"")</f>
        <v/>
      </c>
      <c r="Q63" s="39" t="str">
        <f t="array" ref="Q63">IFERROR(INDEX(Temps_Total,SMALL(IF(Id_Impression=$A63,ROW(Temps_Total)-MIN(ROW(Temps_Total))+1),COLUMNS($A$3:G63))),"")</f>
        <v/>
      </c>
      <c r="R63" s="38">
        <f t="array" ref="R63">IFERROR(INDEX(Quantité_à_imprimer_12_2017,SMALL(IF(Id_Impression=$A63,ROW(Quantité_à_imprimer_12_2017)-MIN(ROW(Quantité_à_imprimer_12_2017))+1),COLUMNS($A$3:A63))),"")</f>
        <v>1</v>
      </c>
      <c r="S63" s="38">
        <f t="array" ref="S63">IFERROR(INDEX(Quantité_à_imprimer_12_2017,SMALL(IF(Id_Impression=$A63,ROW(Quantité_à_imprimer_12_2017)-MIN(ROW(Quantité_à_imprimer_12_2017))+1),COLUMNS($A$3:B63))),"")</f>
        <v>2</v>
      </c>
      <c r="T63" s="38">
        <f t="array" ref="T63">IFERROR(INDEX(Quantité_à_imprimer_12_2017,SMALL(IF(Id_Impression=$A63,ROW(Quantité_à_imprimer_12_2017)-MIN(ROW(Quantité_à_imprimer_12_2017))+1),COLUMNS($A$3:C63))),"")</f>
        <v>1</v>
      </c>
      <c r="U63" s="38">
        <f t="array" ref="U63">IFERROR(INDEX(Quantité_à_imprimer_12_2017,SMALL(IF(Id_Impression=$A63,ROW(Quantité_à_imprimer_12_2017)-MIN(ROW(Quantité_à_imprimer_12_2017))+1),COLUMNS($A$3:D63))),"")</f>
        <v>1</v>
      </c>
      <c r="V63" s="38" t="str">
        <f t="array" ref="V63">IFERROR(INDEX(Quantité_à_imprimer_12_2017,SMALL(IF(Id_Impression=$A63,ROW(Quantité_à_imprimer_12_2017)-MIN(ROW(Quantité_à_imprimer_12_2017))+1),COLUMNS($A$3:E63))),"")</f>
        <v/>
      </c>
      <c r="W63" s="38" t="str">
        <f t="array" ref="W63">IFERROR(INDEX(Quantité_à_imprimer_12_2017,SMALL(IF(Id_Impression=$A63,ROW(Quantité_à_imprimer_12_2017)-MIN(ROW(Quantité_à_imprimer_12_2017))+1),COLUMNS($A$3:F63))),"")</f>
        <v/>
      </c>
      <c r="X63" s="38" t="str">
        <f t="array" ref="X63">IFERROR(INDEX(Quantité_à_imprimer_12_2017,SMALL(IF(Id_Impression=$A63,ROW(Quantité_à_imprimer_12_2017)-MIN(ROW(Quantité_à_imprimer_12_2017))+1),COLUMNS($A$3:G63))),"")</f>
        <v/>
      </c>
    </row>
    <row r="64" spans="1:24" x14ac:dyDescent="0.55000000000000004">
      <c r="A64" s="40">
        <v>63</v>
      </c>
      <c r="B64" s="36">
        <f t="shared" si="0"/>
        <v>0.14097222222222222</v>
      </c>
      <c r="C64" s="37">
        <v>3</v>
      </c>
      <c r="D64" s="38" t="str">
        <f t="array" ref="D64">IFERROR(INDEX(Fichier_initial,SMALL(IF(Id_Impression=$A64,ROW(Fichier_initial)-MIN(ROW(Fichier_initial))+1),COLUMNS($A64:A64))),"")</f>
        <v>InMRightV1</v>
      </c>
      <c r="E64" s="38" t="str">
        <f t="array" ref="E64">IFERROR(INDEX(Fichier_initial,SMALL(IF(Id_Impression=$A64,ROW(Fichier_initial)-MIN(ROW(Fichier_initial))+1),COLUMNS($A64:B64))),"")</f>
        <v>BackHolderLowRightV1</v>
      </c>
      <c r="F64" s="38" t="str">
        <f t="array" ref="F64">IFERROR(INDEX(Fichier_initial,SMALL(IF(Id_Impression=$A64,ROW(Fichier_initial)-MIN(ROW(Fichier_initial))+1),COLUMNS($A64:C64))),"")</f>
        <v>BackSideHolderLeftV1</v>
      </c>
      <c r="G64" s="38" t="str">
        <f t="array" ref="G64">IFERROR(INDEX(Fichier_initial,SMALL(IF(Id_Impression=$A64,ROW(Fichier_initial)-MIN(ROW(Fichier_initial))+1),COLUMNS($A64:D64))),"")</f>
        <v/>
      </c>
      <c r="H64" s="38" t="str">
        <f t="array" ref="H64">IFERROR(INDEX(Fichier_initial,SMALL(IF(Id_Impression=$A64,ROW(Fichier_initial)-MIN(ROW(Fichier_initial))+1),COLUMNS($A64:E64))),"")</f>
        <v/>
      </c>
      <c r="I64" s="38" t="str">
        <f t="array" ref="I64">IFERROR(INDEX(Fichier_initial,SMALL(IF(Id_Impression=$A64,ROW(Fichier_initial)-MIN(ROW(Fichier_initial))+1),COLUMNS($A64:F64))),"")</f>
        <v/>
      </c>
      <c r="J64" s="38" t="str">
        <f t="array" ref="J64">IFERROR(INDEX(Fichier_initial,SMALL(IF(Id_Impression=$A64,ROW(Fichier_initial)-MIN(ROW(Fichier_initial))+1),COLUMNS($A64:G64))),"")</f>
        <v/>
      </c>
      <c r="K64" s="39">
        <f t="array" ref="K64">IFERROR(INDEX(Temps_Total,SMALL(IF(Id_Impression=$A64,ROW(Temps_Total)-MIN(ROW(Temps_Total))+1),COLUMNS($A$3:A64))),"")</f>
        <v>9.7222222222222224E-2</v>
      </c>
      <c r="L64" s="39">
        <f t="array" ref="L64">IFERROR(INDEX(Temps_Total,SMALL(IF(Id_Impression=$A64,ROW(Temps_Total)-MIN(ROW(Temps_Total))+1),COLUMNS($A$3:B64))),"")</f>
        <v>1.7361111111111112E-2</v>
      </c>
      <c r="M64" s="39">
        <f t="array" ref="M64">IFERROR(INDEX(Temps_Total,SMALL(IF(Id_Impression=$A64,ROW(Temps_Total)-MIN(ROW(Temps_Total))+1),COLUMNS($A$3:C64))),"")</f>
        <v>2.6388888888888889E-2</v>
      </c>
      <c r="N64" s="39" t="str">
        <f t="array" ref="N64">IFERROR(INDEX(Temps_Total,SMALL(IF(Id_Impression=$A64,ROW(Temps_Total)-MIN(ROW(Temps_Total))+1),COLUMNS($A$3:D64))),"")</f>
        <v/>
      </c>
      <c r="O64" s="39" t="str">
        <f t="array" ref="O64">IFERROR(INDEX(Temps_Total,SMALL(IF(Id_Impression=$A64,ROW(Temps_Total)-MIN(ROW(Temps_Total))+1),COLUMNS($A$3:E64))),"")</f>
        <v/>
      </c>
      <c r="P64" s="39" t="str">
        <f t="array" ref="P64">IFERROR(INDEX(Temps_Total,SMALL(IF(Id_Impression=$A64,ROW(Temps_Total)-MIN(ROW(Temps_Total))+1),COLUMNS($A$3:F64))),"")</f>
        <v/>
      </c>
      <c r="Q64" s="39" t="str">
        <f t="array" ref="Q64">IFERROR(INDEX(Temps_Total,SMALL(IF(Id_Impression=$A64,ROW(Temps_Total)-MIN(ROW(Temps_Total))+1),COLUMNS($A$3:G64))),"")</f>
        <v/>
      </c>
      <c r="R64" s="38">
        <f t="array" ref="R64">IFERROR(INDEX(Quantité_à_imprimer_12_2017,SMALL(IF(Id_Impression=$A64,ROW(Quantité_à_imprimer_12_2017)-MIN(ROW(Quantité_à_imprimer_12_2017))+1),COLUMNS($A$3:A64))),"")</f>
        <v>1</v>
      </c>
      <c r="S64" s="38">
        <f t="array" ref="S64">IFERROR(INDEX(Quantité_à_imprimer_12_2017,SMALL(IF(Id_Impression=$A64,ROW(Quantité_à_imprimer_12_2017)-MIN(ROW(Quantité_à_imprimer_12_2017))+1),COLUMNS($A$3:B64))),"")</f>
        <v>1</v>
      </c>
      <c r="T64" s="38">
        <f t="array" ref="T64">IFERROR(INDEX(Quantité_à_imprimer_12_2017,SMALL(IF(Id_Impression=$A64,ROW(Quantité_à_imprimer_12_2017)-MIN(ROW(Quantité_à_imprimer_12_2017))+1),COLUMNS($A$3:C64))),"")</f>
        <v>1</v>
      </c>
      <c r="U64" s="38" t="str">
        <f t="array" ref="U64">IFERROR(INDEX(Quantité_à_imprimer_12_2017,SMALL(IF(Id_Impression=$A64,ROW(Quantité_à_imprimer_12_2017)-MIN(ROW(Quantité_à_imprimer_12_2017))+1),COLUMNS($A$3:D64))),"")</f>
        <v/>
      </c>
      <c r="V64" s="38" t="str">
        <f t="array" ref="V64">IFERROR(INDEX(Quantité_à_imprimer_12_2017,SMALL(IF(Id_Impression=$A64,ROW(Quantité_à_imprimer_12_2017)-MIN(ROW(Quantité_à_imprimer_12_2017))+1),COLUMNS($A$3:E64))),"")</f>
        <v/>
      </c>
      <c r="W64" s="38" t="str">
        <f t="array" ref="W64">IFERROR(INDEX(Quantité_à_imprimer_12_2017,SMALL(IF(Id_Impression=$A64,ROW(Quantité_à_imprimer_12_2017)-MIN(ROW(Quantité_à_imprimer_12_2017))+1),COLUMNS($A$3:F64))),"")</f>
        <v/>
      </c>
      <c r="X64" s="38" t="str">
        <f t="array" ref="X64">IFERROR(INDEX(Quantité_à_imprimer_12_2017,SMALL(IF(Id_Impression=$A64,ROW(Quantité_à_imprimer_12_2017)-MIN(ROW(Quantité_à_imprimer_12_2017))+1),COLUMNS($A$3:G64))),"")</f>
        <v/>
      </c>
    </row>
    <row r="65" spans="1:24" x14ac:dyDescent="0.55000000000000004">
      <c r="A65" s="40">
        <v>64</v>
      </c>
      <c r="B65" s="36">
        <f t="shared" si="0"/>
        <v>0.17222222222222222</v>
      </c>
      <c r="C65" s="37">
        <v>3</v>
      </c>
      <c r="D65" s="38" t="str">
        <f t="array" ref="D65">IFERROR(INDEX(Fichier_initial,SMALL(IF(Id_Impression=$A65,ROW(Fichier_initial)-MIN(ROW(Fichier_initial))+1),COLUMNS($A65:A65))),"")</f>
        <v>BatteryHolderLeftV1</v>
      </c>
      <c r="E65" s="38" t="str">
        <f t="array" ref="E65">IFERROR(INDEX(Fichier_initial,SMALL(IF(Id_Impression=$A65,ROW(Fichier_initial)-MIN(ROW(Fichier_initial))+1),COLUMNS($A65:B65))),"")</f>
        <v>BackSideHolderRightV1</v>
      </c>
      <c r="F65" s="38" t="str">
        <f t="array" ref="F65">IFERROR(INDEX(Fichier_initial,SMALL(IF(Id_Impression=$A65,ROW(Fichier_initial)-MIN(ROW(Fichier_initial))+1),COLUMNS($A65:C65))),"")</f>
        <v>BackHolderCenterRightV1</v>
      </c>
      <c r="G65" s="38" t="str">
        <f t="array" ref="G65">IFERROR(INDEX(Fichier_initial,SMALL(IF(Id_Impression=$A65,ROW(Fichier_initial)-MIN(ROW(Fichier_initial))+1),COLUMNS($A65:D65))),"")</f>
        <v/>
      </c>
      <c r="H65" s="38" t="str">
        <f t="array" ref="H65">IFERROR(INDEX(Fichier_initial,SMALL(IF(Id_Impression=$A65,ROW(Fichier_initial)-MIN(ROW(Fichier_initial))+1),COLUMNS($A65:E65))),"")</f>
        <v/>
      </c>
      <c r="I65" s="38" t="str">
        <f t="array" ref="I65">IFERROR(INDEX(Fichier_initial,SMALL(IF(Id_Impression=$A65,ROW(Fichier_initial)-MIN(ROW(Fichier_initial))+1),COLUMNS($A65:F65))),"")</f>
        <v/>
      </c>
      <c r="J65" s="38" t="str">
        <f t="array" ref="J65">IFERROR(INDEX(Fichier_initial,SMALL(IF(Id_Impression=$A65,ROW(Fichier_initial)-MIN(ROW(Fichier_initial))+1),COLUMNS($A65:G65))),"")</f>
        <v/>
      </c>
      <c r="K65" s="39">
        <f t="array" ref="K65">IFERROR(INDEX(Temps_Total,SMALL(IF(Id_Impression=$A65,ROW(Temps_Total)-MIN(ROW(Temps_Total))+1),COLUMNS($A$3:A65))),"")</f>
        <v>0.10555555555555556</v>
      </c>
      <c r="L65" s="39">
        <f t="array" ref="L65">IFERROR(INDEX(Temps_Total,SMALL(IF(Id_Impression=$A65,ROW(Temps_Total)-MIN(ROW(Temps_Total))+1),COLUMNS($A$3:B65))),"")</f>
        <v>2.6388888888888889E-2</v>
      </c>
      <c r="M65" s="39">
        <f t="array" ref="M65">IFERROR(INDEX(Temps_Total,SMALL(IF(Id_Impression=$A65,ROW(Temps_Total)-MIN(ROW(Temps_Total))+1),COLUMNS($A$3:C65))),"")</f>
        <v>4.027777777777778E-2</v>
      </c>
      <c r="N65" s="39" t="str">
        <f t="array" ref="N65">IFERROR(INDEX(Temps_Total,SMALL(IF(Id_Impression=$A65,ROW(Temps_Total)-MIN(ROW(Temps_Total))+1),COLUMNS($A$3:D65))),"")</f>
        <v/>
      </c>
      <c r="O65" s="39" t="str">
        <f t="array" ref="O65">IFERROR(INDEX(Temps_Total,SMALL(IF(Id_Impression=$A65,ROW(Temps_Total)-MIN(ROW(Temps_Total))+1),COLUMNS($A$3:E65))),"")</f>
        <v/>
      </c>
      <c r="P65" s="39" t="str">
        <f t="array" ref="P65">IFERROR(INDEX(Temps_Total,SMALL(IF(Id_Impression=$A65,ROW(Temps_Total)-MIN(ROW(Temps_Total))+1),COLUMNS($A$3:F65))),"")</f>
        <v/>
      </c>
      <c r="Q65" s="39" t="str">
        <f t="array" ref="Q65">IFERROR(INDEX(Temps_Total,SMALL(IF(Id_Impression=$A65,ROW(Temps_Total)-MIN(ROW(Temps_Total))+1),COLUMNS($A$3:G65))),"")</f>
        <v/>
      </c>
      <c r="R65" s="38">
        <f t="array" ref="R65">IFERROR(INDEX(Quantité_à_imprimer_12_2017,SMALL(IF(Id_Impression=$A65,ROW(Quantité_à_imprimer_12_2017)-MIN(ROW(Quantité_à_imprimer_12_2017))+1),COLUMNS($A$3:A65))),"")</f>
        <v>1</v>
      </c>
      <c r="S65" s="38">
        <f t="array" ref="S65">IFERROR(INDEX(Quantité_à_imprimer_12_2017,SMALL(IF(Id_Impression=$A65,ROW(Quantité_à_imprimer_12_2017)-MIN(ROW(Quantité_à_imprimer_12_2017))+1),COLUMNS($A$3:B65))),"")</f>
        <v>1</v>
      </c>
      <c r="T65" s="38">
        <f t="array" ref="T65">IFERROR(INDEX(Quantité_à_imprimer_12_2017,SMALL(IF(Id_Impression=$A65,ROW(Quantité_à_imprimer_12_2017)-MIN(ROW(Quantité_à_imprimer_12_2017))+1),COLUMNS($A$3:C65))),"")</f>
        <v>1</v>
      </c>
      <c r="U65" s="38" t="str">
        <f t="array" ref="U65">IFERROR(INDEX(Quantité_à_imprimer_12_2017,SMALL(IF(Id_Impression=$A65,ROW(Quantité_à_imprimer_12_2017)-MIN(ROW(Quantité_à_imprimer_12_2017))+1),COLUMNS($A$3:D65))),"")</f>
        <v/>
      </c>
      <c r="V65" s="38" t="str">
        <f t="array" ref="V65">IFERROR(INDEX(Quantité_à_imprimer_12_2017,SMALL(IF(Id_Impression=$A65,ROW(Quantité_à_imprimer_12_2017)-MIN(ROW(Quantité_à_imprimer_12_2017))+1),COLUMNS($A$3:E65))),"")</f>
        <v/>
      </c>
      <c r="W65" s="38" t="str">
        <f t="array" ref="W65">IFERROR(INDEX(Quantité_à_imprimer_12_2017,SMALL(IF(Id_Impression=$A65,ROW(Quantité_à_imprimer_12_2017)-MIN(ROW(Quantité_à_imprimer_12_2017))+1),COLUMNS($A$3:F65))),"")</f>
        <v/>
      </c>
      <c r="X65" s="38" t="str">
        <f t="array" ref="X65">IFERROR(INDEX(Quantité_à_imprimer_12_2017,SMALL(IF(Id_Impression=$A65,ROW(Quantité_à_imprimer_12_2017)-MIN(ROW(Quantité_à_imprimer_12_2017))+1),COLUMNS($A$3:G65))),"")</f>
        <v/>
      </c>
    </row>
    <row r="66" spans="1:24" x14ac:dyDescent="0.55000000000000004">
      <c r="A66" s="40">
        <v>65</v>
      </c>
      <c r="B66" s="36">
        <f t="shared" si="0"/>
        <v>0.15972222222222224</v>
      </c>
      <c r="C66" s="37">
        <v>1</v>
      </c>
      <c r="D66" s="38" t="str">
        <f t="array" ref="D66">IFERROR(INDEX(Fichier_initial,SMALL(IF(Id_Impression=$A66,ROW(Fichier_initial)-MIN(ROW(Fichier_initial))+1),COLUMNS($A66:A66))),"")</f>
        <v>BackCoverTopRightV3</v>
      </c>
      <c r="E66" s="38" t="str">
        <f t="array" ref="E66">IFERROR(INDEX(Fichier_initial,SMALL(IF(Id_Impression=$A66,ROW(Fichier_initial)-MIN(ROW(Fichier_initial))+1),COLUMNS($A66:B66))),"")</f>
        <v/>
      </c>
      <c r="F66" s="38" t="str">
        <f t="array" ref="F66">IFERROR(INDEX(Fichier_initial,SMALL(IF(Id_Impression=$A66,ROW(Fichier_initial)-MIN(ROW(Fichier_initial))+1),COLUMNS($A66:C66))),"")</f>
        <v/>
      </c>
      <c r="G66" s="38" t="str">
        <f t="array" ref="G66">IFERROR(INDEX(Fichier_initial,SMALL(IF(Id_Impression=$A66,ROW(Fichier_initial)-MIN(ROW(Fichier_initial))+1),COLUMNS($A66:D66))),"")</f>
        <v/>
      </c>
      <c r="H66" s="38" t="str">
        <f t="array" ref="H66">IFERROR(INDEX(Fichier_initial,SMALL(IF(Id_Impression=$A66,ROW(Fichier_initial)-MIN(ROW(Fichier_initial))+1),COLUMNS($A66:E66))),"")</f>
        <v/>
      </c>
      <c r="I66" s="38" t="str">
        <f t="array" ref="I66">IFERROR(INDEX(Fichier_initial,SMALL(IF(Id_Impression=$A66,ROW(Fichier_initial)-MIN(ROW(Fichier_initial))+1),COLUMNS($A66:F66))),"")</f>
        <v/>
      </c>
      <c r="J66" s="38" t="str">
        <f t="array" ref="J66">IFERROR(INDEX(Fichier_initial,SMALL(IF(Id_Impression=$A66,ROW(Fichier_initial)-MIN(ROW(Fichier_initial))+1),COLUMNS($A66:G66))),"")</f>
        <v/>
      </c>
      <c r="K66" s="39">
        <f t="array" ref="K66">IFERROR(INDEX(Temps_Total,SMALL(IF(Id_Impression=$A66,ROW(Temps_Total)-MIN(ROW(Temps_Total))+1),COLUMNS($A$3:A66))),"")</f>
        <v>0.15972222222222224</v>
      </c>
      <c r="L66" s="39" t="str">
        <f t="array" ref="L66">IFERROR(INDEX(Temps_Total,SMALL(IF(Id_Impression=$A66,ROW(Temps_Total)-MIN(ROW(Temps_Total))+1),COLUMNS($A$3:B66))),"")</f>
        <v/>
      </c>
      <c r="M66" s="39" t="str">
        <f t="array" ref="M66">IFERROR(INDEX(Temps_Total,SMALL(IF(Id_Impression=$A66,ROW(Temps_Total)-MIN(ROW(Temps_Total))+1),COLUMNS($A$3:C66))),"")</f>
        <v/>
      </c>
      <c r="N66" s="39" t="str">
        <f t="array" ref="N66">IFERROR(INDEX(Temps_Total,SMALL(IF(Id_Impression=$A66,ROW(Temps_Total)-MIN(ROW(Temps_Total))+1),COLUMNS($A$3:D66))),"")</f>
        <v/>
      </c>
      <c r="O66" s="39" t="str">
        <f t="array" ref="O66">IFERROR(INDEX(Temps_Total,SMALL(IF(Id_Impression=$A66,ROW(Temps_Total)-MIN(ROW(Temps_Total))+1),COLUMNS($A$3:E66))),"")</f>
        <v/>
      </c>
      <c r="P66" s="39" t="str">
        <f t="array" ref="P66">IFERROR(INDEX(Temps_Total,SMALL(IF(Id_Impression=$A66,ROW(Temps_Total)-MIN(ROW(Temps_Total))+1),COLUMNS($A$3:F66))),"")</f>
        <v/>
      </c>
      <c r="Q66" s="39" t="str">
        <f t="array" ref="Q66">IFERROR(INDEX(Temps_Total,SMALL(IF(Id_Impression=$A66,ROW(Temps_Total)-MIN(ROW(Temps_Total))+1),COLUMNS($A$3:G66))),"")</f>
        <v/>
      </c>
      <c r="R66" s="38">
        <f t="array" ref="R66">IFERROR(INDEX(Quantité_à_imprimer_12_2017,SMALL(IF(Id_Impression=$A66,ROW(Quantité_à_imprimer_12_2017)-MIN(ROW(Quantité_à_imprimer_12_2017))+1),COLUMNS($A$3:A66))),"")</f>
        <v>1</v>
      </c>
      <c r="S66" s="38" t="str">
        <f t="array" ref="S66">IFERROR(INDEX(Quantité_à_imprimer_12_2017,SMALL(IF(Id_Impression=$A66,ROW(Quantité_à_imprimer_12_2017)-MIN(ROW(Quantité_à_imprimer_12_2017))+1),COLUMNS($A$3:B66))),"")</f>
        <v/>
      </c>
      <c r="T66" s="38" t="str">
        <f t="array" ref="T66">IFERROR(INDEX(Quantité_à_imprimer_12_2017,SMALL(IF(Id_Impression=$A66,ROW(Quantité_à_imprimer_12_2017)-MIN(ROW(Quantité_à_imprimer_12_2017))+1),COLUMNS($A$3:C66))),"")</f>
        <v/>
      </c>
      <c r="U66" s="38" t="str">
        <f t="array" ref="U66">IFERROR(INDEX(Quantité_à_imprimer_12_2017,SMALL(IF(Id_Impression=$A66,ROW(Quantité_à_imprimer_12_2017)-MIN(ROW(Quantité_à_imprimer_12_2017))+1),COLUMNS($A$3:D66))),"")</f>
        <v/>
      </c>
      <c r="V66" s="38" t="str">
        <f t="array" ref="V66">IFERROR(INDEX(Quantité_à_imprimer_12_2017,SMALL(IF(Id_Impression=$A66,ROW(Quantité_à_imprimer_12_2017)-MIN(ROW(Quantité_à_imprimer_12_2017))+1),COLUMNS($A$3:E66))),"")</f>
        <v/>
      </c>
      <c r="W66" s="38" t="str">
        <f t="array" ref="W66">IFERROR(INDEX(Quantité_à_imprimer_12_2017,SMALL(IF(Id_Impression=$A66,ROW(Quantité_à_imprimer_12_2017)-MIN(ROW(Quantité_à_imprimer_12_2017))+1),COLUMNS($A$3:F66))),"")</f>
        <v/>
      </c>
      <c r="X66" s="38" t="str">
        <f t="array" ref="X66">IFERROR(INDEX(Quantité_à_imprimer_12_2017,SMALL(IF(Id_Impression=$A66,ROW(Quantité_à_imprimer_12_2017)-MIN(ROW(Quantité_à_imprimer_12_2017))+1),COLUMNS($A$3:G66))),"")</f>
        <v/>
      </c>
    </row>
    <row r="67" spans="1:24" x14ac:dyDescent="0.55000000000000004">
      <c r="A67" s="40">
        <v>66</v>
      </c>
      <c r="B67" s="36">
        <f t="shared" si="0"/>
        <v>0.16041666666666668</v>
      </c>
      <c r="C67" s="37">
        <v>1</v>
      </c>
      <c r="D67" s="38" t="str">
        <f t="array" ref="D67">IFERROR(INDEX(Fichier_initial,SMALL(IF(Id_Impression=$A67,ROW(Fichier_initial)-MIN(ROW(Fichier_initial))+1),COLUMNS($A67:A67))),"")</f>
        <v>BackCoverTopLeftV3</v>
      </c>
      <c r="E67" s="38" t="str">
        <f t="array" ref="E67">IFERROR(INDEX(Fichier_initial,SMALL(IF(Id_Impression=$A67,ROW(Fichier_initial)-MIN(ROW(Fichier_initial))+1),COLUMNS($A67:B67))),"")</f>
        <v/>
      </c>
      <c r="F67" s="38" t="str">
        <f t="array" ref="F67">IFERROR(INDEX(Fichier_initial,SMALL(IF(Id_Impression=$A67,ROW(Fichier_initial)-MIN(ROW(Fichier_initial))+1),COLUMNS($A67:C67))),"")</f>
        <v/>
      </c>
      <c r="G67" s="38" t="str">
        <f t="array" ref="G67">IFERROR(INDEX(Fichier_initial,SMALL(IF(Id_Impression=$A67,ROW(Fichier_initial)-MIN(ROW(Fichier_initial))+1),COLUMNS($A67:D67))),"")</f>
        <v/>
      </c>
      <c r="H67" s="38" t="str">
        <f t="array" ref="H67">IFERROR(INDEX(Fichier_initial,SMALL(IF(Id_Impression=$A67,ROW(Fichier_initial)-MIN(ROW(Fichier_initial))+1),COLUMNS($A67:E67))),"")</f>
        <v/>
      </c>
      <c r="I67" s="38" t="str">
        <f t="array" ref="I67">IFERROR(INDEX(Fichier_initial,SMALL(IF(Id_Impression=$A67,ROW(Fichier_initial)-MIN(ROW(Fichier_initial))+1),COLUMNS($A67:F67))),"")</f>
        <v/>
      </c>
      <c r="J67" s="38" t="str">
        <f t="array" ref="J67">IFERROR(INDEX(Fichier_initial,SMALL(IF(Id_Impression=$A67,ROW(Fichier_initial)-MIN(ROW(Fichier_initial))+1),COLUMNS($A67:G67))),"")</f>
        <v/>
      </c>
      <c r="K67" s="39">
        <f t="array" ref="K67">IFERROR(INDEX(Temps_Total,SMALL(IF(Id_Impression=$A67,ROW(Temps_Total)-MIN(ROW(Temps_Total))+1),COLUMNS($A$3:A67))),"")</f>
        <v>0.16041666666666668</v>
      </c>
      <c r="L67" s="39" t="str">
        <f t="array" ref="L67">IFERROR(INDEX(Temps_Total,SMALL(IF(Id_Impression=$A67,ROW(Temps_Total)-MIN(ROW(Temps_Total))+1),COLUMNS($A$3:B67))),"")</f>
        <v/>
      </c>
      <c r="M67" s="39" t="str">
        <f t="array" ref="M67">IFERROR(INDEX(Temps_Total,SMALL(IF(Id_Impression=$A67,ROW(Temps_Total)-MIN(ROW(Temps_Total))+1),COLUMNS($A$3:C67))),"")</f>
        <v/>
      </c>
      <c r="N67" s="39" t="str">
        <f t="array" ref="N67">IFERROR(INDEX(Temps_Total,SMALL(IF(Id_Impression=$A67,ROW(Temps_Total)-MIN(ROW(Temps_Total))+1),COLUMNS($A$3:D67))),"")</f>
        <v/>
      </c>
      <c r="O67" s="39" t="str">
        <f t="array" ref="O67">IFERROR(INDEX(Temps_Total,SMALL(IF(Id_Impression=$A67,ROW(Temps_Total)-MIN(ROW(Temps_Total))+1),COLUMNS($A$3:E67))),"")</f>
        <v/>
      </c>
      <c r="P67" s="39" t="str">
        <f t="array" ref="P67">IFERROR(INDEX(Temps_Total,SMALL(IF(Id_Impression=$A67,ROW(Temps_Total)-MIN(ROW(Temps_Total))+1),COLUMNS($A$3:F67))),"")</f>
        <v/>
      </c>
      <c r="Q67" s="39" t="str">
        <f t="array" ref="Q67">IFERROR(INDEX(Temps_Total,SMALL(IF(Id_Impression=$A67,ROW(Temps_Total)-MIN(ROW(Temps_Total))+1),COLUMNS($A$3:G67))),"")</f>
        <v/>
      </c>
      <c r="R67" s="38">
        <f t="array" ref="R67">IFERROR(INDEX(Quantité_à_imprimer_12_2017,SMALL(IF(Id_Impression=$A67,ROW(Quantité_à_imprimer_12_2017)-MIN(ROW(Quantité_à_imprimer_12_2017))+1),COLUMNS($A$3:A67))),"")</f>
        <v>1</v>
      </c>
      <c r="S67" s="38" t="str">
        <f t="array" ref="S67">IFERROR(INDEX(Quantité_à_imprimer_12_2017,SMALL(IF(Id_Impression=$A67,ROW(Quantité_à_imprimer_12_2017)-MIN(ROW(Quantité_à_imprimer_12_2017))+1),COLUMNS($A$3:B67))),"")</f>
        <v/>
      </c>
      <c r="T67" s="38" t="str">
        <f t="array" ref="T67">IFERROR(INDEX(Quantité_à_imprimer_12_2017,SMALL(IF(Id_Impression=$A67,ROW(Quantité_à_imprimer_12_2017)-MIN(ROW(Quantité_à_imprimer_12_2017))+1),COLUMNS($A$3:C67))),"")</f>
        <v/>
      </c>
      <c r="U67" s="38" t="str">
        <f t="array" ref="U67">IFERROR(INDEX(Quantité_à_imprimer_12_2017,SMALL(IF(Id_Impression=$A67,ROW(Quantité_à_imprimer_12_2017)-MIN(ROW(Quantité_à_imprimer_12_2017))+1),COLUMNS($A$3:D67))),"")</f>
        <v/>
      </c>
      <c r="V67" s="38" t="str">
        <f t="array" ref="V67">IFERROR(INDEX(Quantité_à_imprimer_12_2017,SMALL(IF(Id_Impression=$A67,ROW(Quantité_à_imprimer_12_2017)-MIN(ROW(Quantité_à_imprimer_12_2017))+1),COLUMNS($A$3:E67))),"")</f>
        <v/>
      </c>
      <c r="W67" s="38" t="str">
        <f t="array" ref="W67">IFERROR(INDEX(Quantité_à_imprimer_12_2017,SMALL(IF(Id_Impression=$A67,ROW(Quantité_à_imprimer_12_2017)-MIN(ROW(Quantité_à_imprimer_12_2017))+1),COLUMNS($A$3:F67))),"")</f>
        <v/>
      </c>
      <c r="X67" s="38" t="str">
        <f t="array" ref="X67">IFERROR(INDEX(Quantité_à_imprimer_12_2017,SMALL(IF(Id_Impression=$A67,ROW(Quantité_à_imprimer_12_2017)-MIN(ROW(Quantité_à_imprimer_12_2017))+1),COLUMNS($A$3:G67))),"")</f>
        <v/>
      </c>
    </row>
    <row r="68" spans="1:24" x14ac:dyDescent="0.55000000000000004">
      <c r="A68" s="40">
        <v>67</v>
      </c>
      <c r="B68" s="36">
        <f t="shared" ref="B68:B110" si="1">SUM(K68:Q68)</f>
        <v>0.18611111111111112</v>
      </c>
      <c r="C68" s="37">
        <v>1</v>
      </c>
      <c r="D68" s="38" t="str">
        <f t="array" ref="D68">IFERROR(INDEX(Fichier_initial,SMALL(IF(Id_Impression=$A68,ROW(Fichier_initial)-MIN(ROW(Fichier_initial))+1),COLUMNS($A68:A68))),"")</f>
        <v>BackCoverBottomRightV2</v>
      </c>
      <c r="E68" s="38" t="str">
        <f t="array" ref="E68">IFERROR(INDEX(Fichier_initial,SMALL(IF(Id_Impression=$A68,ROW(Fichier_initial)-MIN(ROW(Fichier_initial))+1),COLUMNS($A68:B68))),"")</f>
        <v/>
      </c>
      <c r="F68" s="38" t="str">
        <f t="array" ref="F68">IFERROR(INDEX(Fichier_initial,SMALL(IF(Id_Impression=$A68,ROW(Fichier_initial)-MIN(ROW(Fichier_initial))+1),COLUMNS($A68:C68))),"")</f>
        <v/>
      </c>
      <c r="G68" s="38" t="str">
        <f t="array" ref="G68">IFERROR(INDEX(Fichier_initial,SMALL(IF(Id_Impression=$A68,ROW(Fichier_initial)-MIN(ROW(Fichier_initial))+1),COLUMNS($A68:D68))),"")</f>
        <v/>
      </c>
      <c r="H68" s="38" t="str">
        <f t="array" ref="H68">IFERROR(INDEX(Fichier_initial,SMALL(IF(Id_Impression=$A68,ROW(Fichier_initial)-MIN(ROW(Fichier_initial))+1),COLUMNS($A68:E68))),"")</f>
        <v/>
      </c>
      <c r="I68" s="38" t="str">
        <f t="array" ref="I68">IFERROR(INDEX(Fichier_initial,SMALL(IF(Id_Impression=$A68,ROW(Fichier_initial)-MIN(ROW(Fichier_initial))+1),COLUMNS($A68:F68))),"")</f>
        <v/>
      </c>
      <c r="J68" s="38" t="str">
        <f t="array" ref="J68">IFERROR(INDEX(Fichier_initial,SMALL(IF(Id_Impression=$A68,ROW(Fichier_initial)-MIN(ROW(Fichier_initial))+1),COLUMNS($A68:G68))),"")</f>
        <v/>
      </c>
      <c r="K68" s="39">
        <f t="array" ref="K68">IFERROR(INDEX(Temps_Total,SMALL(IF(Id_Impression=$A68,ROW(Temps_Total)-MIN(ROW(Temps_Total))+1),COLUMNS($A$3:A68))),"")</f>
        <v>0.18611111111111112</v>
      </c>
      <c r="L68" s="39" t="str">
        <f t="array" ref="L68">IFERROR(INDEX(Temps_Total,SMALL(IF(Id_Impression=$A68,ROW(Temps_Total)-MIN(ROW(Temps_Total))+1),COLUMNS($A$3:B68))),"")</f>
        <v/>
      </c>
      <c r="M68" s="39" t="str">
        <f t="array" ref="M68">IFERROR(INDEX(Temps_Total,SMALL(IF(Id_Impression=$A68,ROW(Temps_Total)-MIN(ROW(Temps_Total))+1),COLUMNS($A$3:C68))),"")</f>
        <v/>
      </c>
      <c r="N68" s="39" t="str">
        <f t="array" ref="N68">IFERROR(INDEX(Temps_Total,SMALL(IF(Id_Impression=$A68,ROW(Temps_Total)-MIN(ROW(Temps_Total))+1),COLUMNS($A$3:D68))),"")</f>
        <v/>
      </c>
      <c r="O68" s="39" t="str">
        <f t="array" ref="O68">IFERROR(INDEX(Temps_Total,SMALL(IF(Id_Impression=$A68,ROW(Temps_Total)-MIN(ROW(Temps_Total))+1),COLUMNS($A$3:E68))),"")</f>
        <v/>
      </c>
      <c r="P68" s="39" t="str">
        <f t="array" ref="P68">IFERROR(INDEX(Temps_Total,SMALL(IF(Id_Impression=$A68,ROW(Temps_Total)-MIN(ROW(Temps_Total))+1),COLUMNS($A$3:F68))),"")</f>
        <v/>
      </c>
      <c r="Q68" s="39" t="str">
        <f t="array" ref="Q68">IFERROR(INDEX(Temps_Total,SMALL(IF(Id_Impression=$A68,ROW(Temps_Total)-MIN(ROW(Temps_Total))+1),COLUMNS($A$3:G68))),"")</f>
        <v/>
      </c>
      <c r="R68" s="38">
        <f t="array" ref="R68">IFERROR(INDEX(Quantité_à_imprimer_12_2017,SMALL(IF(Id_Impression=$A68,ROW(Quantité_à_imprimer_12_2017)-MIN(ROW(Quantité_à_imprimer_12_2017))+1),COLUMNS($A$3:A68))),"")</f>
        <v>1</v>
      </c>
      <c r="S68" s="38" t="str">
        <f t="array" ref="S68">IFERROR(INDEX(Quantité_à_imprimer_12_2017,SMALL(IF(Id_Impression=$A68,ROW(Quantité_à_imprimer_12_2017)-MIN(ROW(Quantité_à_imprimer_12_2017))+1),COLUMNS($A$3:B68))),"")</f>
        <v/>
      </c>
      <c r="T68" s="38" t="str">
        <f t="array" ref="T68">IFERROR(INDEX(Quantité_à_imprimer_12_2017,SMALL(IF(Id_Impression=$A68,ROW(Quantité_à_imprimer_12_2017)-MIN(ROW(Quantité_à_imprimer_12_2017))+1),COLUMNS($A$3:C68))),"")</f>
        <v/>
      </c>
      <c r="U68" s="38" t="str">
        <f t="array" ref="U68">IFERROR(INDEX(Quantité_à_imprimer_12_2017,SMALL(IF(Id_Impression=$A68,ROW(Quantité_à_imprimer_12_2017)-MIN(ROW(Quantité_à_imprimer_12_2017))+1),COLUMNS($A$3:D68))),"")</f>
        <v/>
      </c>
      <c r="V68" s="38" t="str">
        <f t="array" ref="V68">IFERROR(INDEX(Quantité_à_imprimer_12_2017,SMALL(IF(Id_Impression=$A68,ROW(Quantité_à_imprimer_12_2017)-MIN(ROW(Quantité_à_imprimer_12_2017))+1),COLUMNS($A$3:E68))),"")</f>
        <v/>
      </c>
      <c r="W68" s="38" t="str">
        <f t="array" ref="W68">IFERROR(INDEX(Quantité_à_imprimer_12_2017,SMALL(IF(Id_Impression=$A68,ROW(Quantité_à_imprimer_12_2017)-MIN(ROW(Quantité_à_imprimer_12_2017))+1),COLUMNS($A$3:F68))),"")</f>
        <v/>
      </c>
      <c r="X68" s="38" t="str">
        <f t="array" ref="X68">IFERROR(INDEX(Quantité_à_imprimer_12_2017,SMALL(IF(Id_Impression=$A68,ROW(Quantité_à_imprimer_12_2017)-MIN(ROW(Quantité_à_imprimer_12_2017))+1),COLUMNS($A$3:G68))),"")</f>
        <v/>
      </c>
    </row>
    <row r="69" spans="1:24" x14ac:dyDescent="0.55000000000000004">
      <c r="A69" s="40">
        <v>68</v>
      </c>
      <c r="B69" s="36">
        <f t="shared" si="1"/>
        <v>0.18680555555555556</v>
      </c>
      <c r="C69" s="37">
        <v>1</v>
      </c>
      <c r="D69" s="38" t="str">
        <f t="array" ref="D69">IFERROR(INDEX(Fichier_initial,SMALL(IF(Id_Impression=$A69,ROW(Fichier_initial)-MIN(ROW(Fichier_initial))+1),COLUMNS($A69:A69))),"")</f>
        <v>BackCoverBottomLeftV2</v>
      </c>
      <c r="E69" s="38" t="str">
        <f t="array" ref="E69">IFERROR(INDEX(Fichier_initial,SMALL(IF(Id_Impression=$A69,ROW(Fichier_initial)-MIN(ROW(Fichier_initial))+1),COLUMNS($A69:B69))),"")</f>
        <v/>
      </c>
      <c r="F69" s="38" t="str">
        <f t="array" ref="F69">IFERROR(INDEX(Fichier_initial,SMALL(IF(Id_Impression=$A69,ROW(Fichier_initial)-MIN(ROW(Fichier_initial))+1),COLUMNS($A69:C69))),"")</f>
        <v/>
      </c>
      <c r="G69" s="38" t="str">
        <f t="array" ref="G69">IFERROR(INDEX(Fichier_initial,SMALL(IF(Id_Impression=$A69,ROW(Fichier_initial)-MIN(ROW(Fichier_initial))+1),COLUMNS($A69:D69))),"")</f>
        <v/>
      </c>
      <c r="H69" s="38" t="str">
        <f t="array" ref="H69">IFERROR(INDEX(Fichier_initial,SMALL(IF(Id_Impression=$A69,ROW(Fichier_initial)-MIN(ROW(Fichier_initial))+1),COLUMNS($A69:E69))),"")</f>
        <v/>
      </c>
      <c r="I69" s="38" t="str">
        <f t="array" ref="I69">IFERROR(INDEX(Fichier_initial,SMALL(IF(Id_Impression=$A69,ROW(Fichier_initial)-MIN(ROW(Fichier_initial))+1),COLUMNS($A69:F69))),"")</f>
        <v/>
      </c>
      <c r="J69" s="38" t="str">
        <f t="array" ref="J69">IFERROR(INDEX(Fichier_initial,SMALL(IF(Id_Impression=$A69,ROW(Fichier_initial)-MIN(ROW(Fichier_initial))+1),COLUMNS($A69:G69))),"")</f>
        <v/>
      </c>
      <c r="K69" s="39">
        <f t="array" ref="K69">IFERROR(INDEX(Temps_Total,SMALL(IF(Id_Impression=$A69,ROW(Temps_Total)-MIN(ROW(Temps_Total))+1),COLUMNS($A$3:A69))),"")</f>
        <v>0.18680555555555556</v>
      </c>
      <c r="L69" s="39" t="str">
        <f t="array" ref="L69">IFERROR(INDEX(Temps_Total,SMALL(IF(Id_Impression=$A69,ROW(Temps_Total)-MIN(ROW(Temps_Total))+1),COLUMNS($A$3:B69))),"")</f>
        <v/>
      </c>
      <c r="M69" s="39" t="str">
        <f t="array" ref="M69">IFERROR(INDEX(Temps_Total,SMALL(IF(Id_Impression=$A69,ROW(Temps_Total)-MIN(ROW(Temps_Total))+1),COLUMNS($A$3:C69))),"")</f>
        <v/>
      </c>
      <c r="N69" s="39" t="str">
        <f t="array" ref="N69">IFERROR(INDEX(Temps_Total,SMALL(IF(Id_Impression=$A69,ROW(Temps_Total)-MIN(ROW(Temps_Total))+1),COLUMNS($A$3:D69))),"")</f>
        <v/>
      </c>
      <c r="O69" s="39" t="str">
        <f t="array" ref="O69">IFERROR(INDEX(Temps_Total,SMALL(IF(Id_Impression=$A69,ROW(Temps_Total)-MIN(ROW(Temps_Total))+1),COLUMNS($A$3:E69))),"")</f>
        <v/>
      </c>
      <c r="P69" s="39" t="str">
        <f t="array" ref="P69">IFERROR(INDEX(Temps_Total,SMALL(IF(Id_Impression=$A69,ROW(Temps_Total)-MIN(ROW(Temps_Total))+1),COLUMNS($A$3:F69))),"")</f>
        <v/>
      </c>
      <c r="Q69" s="39" t="str">
        <f t="array" ref="Q69">IFERROR(INDEX(Temps_Total,SMALL(IF(Id_Impression=$A69,ROW(Temps_Total)-MIN(ROW(Temps_Total))+1),COLUMNS($A$3:G69))),"")</f>
        <v/>
      </c>
      <c r="R69" s="38">
        <f t="array" ref="R69">IFERROR(INDEX(Quantité_à_imprimer_12_2017,SMALL(IF(Id_Impression=$A69,ROW(Quantité_à_imprimer_12_2017)-MIN(ROW(Quantité_à_imprimer_12_2017))+1),COLUMNS($A$3:A69))),"")</f>
        <v>1</v>
      </c>
      <c r="S69" s="38" t="str">
        <f t="array" ref="S69">IFERROR(INDEX(Quantité_à_imprimer_12_2017,SMALL(IF(Id_Impression=$A69,ROW(Quantité_à_imprimer_12_2017)-MIN(ROW(Quantité_à_imprimer_12_2017))+1),COLUMNS($A$3:B69))),"")</f>
        <v/>
      </c>
      <c r="T69" s="38" t="str">
        <f t="array" ref="T69">IFERROR(INDEX(Quantité_à_imprimer_12_2017,SMALL(IF(Id_Impression=$A69,ROW(Quantité_à_imprimer_12_2017)-MIN(ROW(Quantité_à_imprimer_12_2017))+1),COLUMNS($A$3:C69))),"")</f>
        <v/>
      </c>
      <c r="U69" s="38" t="str">
        <f t="array" ref="U69">IFERROR(INDEX(Quantité_à_imprimer_12_2017,SMALL(IF(Id_Impression=$A69,ROW(Quantité_à_imprimer_12_2017)-MIN(ROW(Quantité_à_imprimer_12_2017))+1),COLUMNS($A$3:D69))),"")</f>
        <v/>
      </c>
      <c r="V69" s="38" t="str">
        <f t="array" ref="V69">IFERROR(INDEX(Quantité_à_imprimer_12_2017,SMALL(IF(Id_Impression=$A69,ROW(Quantité_à_imprimer_12_2017)-MIN(ROW(Quantité_à_imprimer_12_2017))+1),COLUMNS($A$3:E69))),"")</f>
        <v/>
      </c>
      <c r="W69" s="38" t="str">
        <f t="array" ref="W69">IFERROR(INDEX(Quantité_à_imprimer_12_2017,SMALL(IF(Id_Impression=$A69,ROW(Quantité_à_imprimer_12_2017)-MIN(ROW(Quantité_à_imprimer_12_2017))+1),COLUMNS($A$3:F69))),"")</f>
        <v/>
      </c>
      <c r="X69" s="38" t="str">
        <f t="array" ref="X69">IFERROR(INDEX(Quantité_à_imprimer_12_2017,SMALL(IF(Id_Impression=$A69,ROW(Quantité_à_imprimer_12_2017)-MIN(ROW(Quantité_à_imprimer_12_2017))+1),COLUMNS($A$3:G69))),"")</f>
        <v/>
      </c>
    </row>
    <row r="70" spans="1:24" x14ac:dyDescent="0.55000000000000004">
      <c r="A70" s="40">
        <v>69</v>
      </c>
      <c r="B70" s="36">
        <f t="shared" si="1"/>
        <v>0.20277777777777781</v>
      </c>
      <c r="C70" s="37">
        <v>1</v>
      </c>
      <c r="D70" s="38" t="str">
        <f t="array" ref="D70">IFERROR(INDEX(Fichier_initial,SMALL(IF(Id_Impression=$A70,ROW(Fichier_initial)-MIN(ROW(Fichier_initial))+1),COLUMNS($A70:A70))),"")</f>
        <v>BackDoorLeftV3</v>
      </c>
      <c r="E70" s="38" t="str">
        <f t="array" ref="E70">IFERROR(INDEX(Fichier_initial,SMALL(IF(Id_Impression=$A70,ROW(Fichier_initial)-MIN(ROW(Fichier_initial))+1),COLUMNS($A70:B70))),"")</f>
        <v/>
      </c>
      <c r="F70" s="38" t="str">
        <f t="array" ref="F70">IFERROR(INDEX(Fichier_initial,SMALL(IF(Id_Impression=$A70,ROW(Fichier_initial)-MIN(ROW(Fichier_initial))+1),COLUMNS($A70:C70))),"")</f>
        <v/>
      </c>
      <c r="G70" s="38" t="str">
        <f t="array" ref="G70">IFERROR(INDEX(Fichier_initial,SMALL(IF(Id_Impression=$A70,ROW(Fichier_initial)-MIN(ROW(Fichier_initial))+1),COLUMNS($A70:D70))),"")</f>
        <v/>
      </c>
      <c r="H70" s="38" t="str">
        <f t="array" ref="H70">IFERROR(INDEX(Fichier_initial,SMALL(IF(Id_Impression=$A70,ROW(Fichier_initial)-MIN(ROW(Fichier_initial))+1),COLUMNS($A70:E70))),"")</f>
        <v/>
      </c>
      <c r="I70" s="38" t="str">
        <f t="array" ref="I70">IFERROR(INDEX(Fichier_initial,SMALL(IF(Id_Impression=$A70,ROW(Fichier_initial)-MIN(ROW(Fichier_initial))+1),COLUMNS($A70:F70))),"")</f>
        <v/>
      </c>
      <c r="J70" s="38" t="str">
        <f t="array" ref="J70">IFERROR(INDEX(Fichier_initial,SMALL(IF(Id_Impression=$A70,ROW(Fichier_initial)-MIN(ROW(Fichier_initial))+1),COLUMNS($A70:G70))),"")</f>
        <v/>
      </c>
      <c r="K70" s="39">
        <f t="array" ref="K70">IFERROR(INDEX(Temps_Total,SMALL(IF(Id_Impression=$A70,ROW(Temps_Total)-MIN(ROW(Temps_Total))+1),COLUMNS($A$3:A70))),"")</f>
        <v>0.20277777777777781</v>
      </c>
      <c r="L70" s="39" t="str">
        <f t="array" ref="L70">IFERROR(INDEX(Temps_Total,SMALL(IF(Id_Impression=$A70,ROW(Temps_Total)-MIN(ROW(Temps_Total))+1),COLUMNS($A$3:B70))),"")</f>
        <v/>
      </c>
      <c r="M70" s="39" t="str">
        <f t="array" ref="M70">IFERROR(INDEX(Temps_Total,SMALL(IF(Id_Impression=$A70,ROW(Temps_Total)-MIN(ROW(Temps_Total))+1),COLUMNS($A$3:C70))),"")</f>
        <v/>
      </c>
      <c r="N70" s="39" t="str">
        <f t="array" ref="N70">IFERROR(INDEX(Temps_Total,SMALL(IF(Id_Impression=$A70,ROW(Temps_Total)-MIN(ROW(Temps_Total))+1),COLUMNS($A$3:D70))),"")</f>
        <v/>
      </c>
      <c r="O70" s="39" t="str">
        <f t="array" ref="O70">IFERROR(INDEX(Temps_Total,SMALL(IF(Id_Impression=$A70,ROW(Temps_Total)-MIN(ROW(Temps_Total))+1),COLUMNS($A$3:E70))),"")</f>
        <v/>
      </c>
      <c r="P70" s="39" t="str">
        <f t="array" ref="P70">IFERROR(INDEX(Temps_Total,SMALL(IF(Id_Impression=$A70,ROW(Temps_Total)-MIN(ROW(Temps_Total))+1),COLUMNS($A$3:F70))),"")</f>
        <v/>
      </c>
      <c r="Q70" s="39" t="str">
        <f t="array" ref="Q70">IFERROR(INDEX(Temps_Total,SMALL(IF(Id_Impression=$A70,ROW(Temps_Total)-MIN(ROW(Temps_Total))+1),COLUMNS($A$3:G70))),"")</f>
        <v/>
      </c>
      <c r="R70" s="38">
        <f t="array" ref="R70">IFERROR(INDEX(Quantité_à_imprimer_12_2017,SMALL(IF(Id_Impression=$A70,ROW(Quantité_à_imprimer_12_2017)-MIN(ROW(Quantité_à_imprimer_12_2017))+1),COLUMNS($A$3:A70))),"")</f>
        <v>1</v>
      </c>
      <c r="S70" s="38" t="str">
        <f t="array" ref="S70">IFERROR(INDEX(Quantité_à_imprimer_12_2017,SMALL(IF(Id_Impression=$A70,ROW(Quantité_à_imprimer_12_2017)-MIN(ROW(Quantité_à_imprimer_12_2017))+1),COLUMNS($A$3:B70))),"")</f>
        <v/>
      </c>
      <c r="T70" s="38" t="str">
        <f t="array" ref="T70">IFERROR(INDEX(Quantité_à_imprimer_12_2017,SMALL(IF(Id_Impression=$A70,ROW(Quantité_à_imprimer_12_2017)-MIN(ROW(Quantité_à_imprimer_12_2017))+1),COLUMNS($A$3:C70))),"")</f>
        <v/>
      </c>
      <c r="U70" s="38" t="str">
        <f t="array" ref="U70">IFERROR(INDEX(Quantité_à_imprimer_12_2017,SMALL(IF(Id_Impression=$A70,ROW(Quantité_à_imprimer_12_2017)-MIN(ROW(Quantité_à_imprimer_12_2017))+1),COLUMNS($A$3:D70))),"")</f>
        <v/>
      </c>
      <c r="V70" s="38" t="str">
        <f t="array" ref="V70">IFERROR(INDEX(Quantité_à_imprimer_12_2017,SMALL(IF(Id_Impression=$A70,ROW(Quantité_à_imprimer_12_2017)-MIN(ROW(Quantité_à_imprimer_12_2017))+1),COLUMNS($A$3:E70))),"")</f>
        <v/>
      </c>
      <c r="W70" s="38" t="str">
        <f t="array" ref="W70">IFERROR(INDEX(Quantité_à_imprimer_12_2017,SMALL(IF(Id_Impression=$A70,ROW(Quantité_à_imprimer_12_2017)-MIN(ROW(Quantité_à_imprimer_12_2017))+1),COLUMNS($A$3:F70))),"")</f>
        <v/>
      </c>
      <c r="X70" s="38" t="str">
        <f t="array" ref="X70">IFERROR(INDEX(Quantité_à_imprimer_12_2017,SMALL(IF(Id_Impression=$A70,ROW(Quantité_à_imprimer_12_2017)-MIN(ROW(Quantité_à_imprimer_12_2017))+1),COLUMNS($A$3:G70))),"")</f>
        <v/>
      </c>
    </row>
    <row r="71" spans="1:24" x14ac:dyDescent="0.55000000000000004">
      <c r="A71" s="40">
        <v>70</v>
      </c>
      <c r="B71" s="36">
        <f t="shared" si="1"/>
        <v>0.20347222222222219</v>
      </c>
      <c r="C71" s="37">
        <v>1</v>
      </c>
      <c r="D71" s="38" t="str">
        <f t="array" ref="D71">IFERROR(INDEX(Fichier_initial,SMALL(IF(Id_Impression=$A71,ROW(Fichier_initial)-MIN(ROW(Fichier_initial))+1),COLUMNS($A71:A71))),"")</f>
        <v>BackDoorRightV3</v>
      </c>
      <c r="E71" s="38" t="str">
        <f t="array" ref="E71">IFERROR(INDEX(Fichier_initial,SMALL(IF(Id_Impression=$A71,ROW(Fichier_initial)-MIN(ROW(Fichier_initial))+1),COLUMNS($A71:B71))),"")</f>
        <v/>
      </c>
      <c r="F71" s="38" t="str">
        <f t="array" ref="F71">IFERROR(INDEX(Fichier_initial,SMALL(IF(Id_Impression=$A71,ROW(Fichier_initial)-MIN(ROW(Fichier_initial))+1),COLUMNS($A71:C71))),"")</f>
        <v/>
      </c>
      <c r="G71" s="38" t="str">
        <f t="array" ref="G71">IFERROR(INDEX(Fichier_initial,SMALL(IF(Id_Impression=$A71,ROW(Fichier_initial)-MIN(ROW(Fichier_initial))+1),COLUMNS($A71:D71))),"")</f>
        <v/>
      </c>
      <c r="H71" s="38" t="str">
        <f t="array" ref="H71">IFERROR(INDEX(Fichier_initial,SMALL(IF(Id_Impression=$A71,ROW(Fichier_initial)-MIN(ROW(Fichier_initial))+1),COLUMNS($A71:E71))),"")</f>
        <v/>
      </c>
      <c r="I71" s="38" t="str">
        <f t="array" ref="I71">IFERROR(INDEX(Fichier_initial,SMALL(IF(Id_Impression=$A71,ROW(Fichier_initial)-MIN(ROW(Fichier_initial))+1),COLUMNS($A71:F71))),"")</f>
        <v/>
      </c>
      <c r="J71" s="38" t="str">
        <f t="array" ref="J71">IFERROR(INDEX(Fichier_initial,SMALL(IF(Id_Impression=$A71,ROW(Fichier_initial)-MIN(ROW(Fichier_initial))+1),COLUMNS($A71:G71))),"")</f>
        <v/>
      </c>
      <c r="K71" s="39">
        <f t="array" ref="K71">IFERROR(INDEX(Temps_Total,SMALL(IF(Id_Impression=$A71,ROW(Temps_Total)-MIN(ROW(Temps_Total))+1),COLUMNS($A$3:A71))),"")</f>
        <v>0.20347222222222219</v>
      </c>
      <c r="L71" s="39" t="str">
        <f t="array" ref="L71">IFERROR(INDEX(Temps_Total,SMALL(IF(Id_Impression=$A71,ROW(Temps_Total)-MIN(ROW(Temps_Total))+1),COLUMNS($A$3:B71))),"")</f>
        <v/>
      </c>
      <c r="M71" s="39" t="str">
        <f t="array" ref="M71">IFERROR(INDEX(Temps_Total,SMALL(IF(Id_Impression=$A71,ROW(Temps_Total)-MIN(ROW(Temps_Total))+1),COLUMNS($A$3:C71))),"")</f>
        <v/>
      </c>
      <c r="N71" s="39" t="str">
        <f t="array" ref="N71">IFERROR(INDEX(Temps_Total,SMALL(IF(Id_Impression=$A71,ROW(Temps_Total)-MIN(ROW(Temps_Total))+1),COLUMNS($A$3:D71))),"")</f>
        <v/>
      </c>
      <c r="O71" s="39" t="str">
        <f t="array" ref="O71">IFERROR(INDEX(Temps_Total,SMALL(IF(Id_Impression=$A71,ROW(Temps_Total)-MIN(ROW(Temps_Total))+1),COLUMNS($A$3:E71))),"")</f>
        <v/>
      </c>
      <c r="P71" s="39" t="str">
        <f t="array" ref="P71">IFERROR(INDEX(Temps_Total,SMALL(IF(Id_Impression=$A71,ROW(Temps_Total)-MIN(ROW(Temps_Total))+1),COLUMNS($A$3:F71))),"")</f>
        <v/>
      </c>
      <c r="Q71" s="39" t="str">
        <f t="array" ref="Q71">IFERROR(INDEX(Temps_Total,SMALL(IF(Id_Impression=$A71,ROW(Temps_Total)-MIN(ROW(Temps_Total))+1),COLUMNS($A$3:G71))),"")</f>
        <v/>
      </c>
      <c r="R71" s="38">
        <f t="array" ref="R71">IFERROR(INDEX(Quantité_à_imprimer_12_2017,SMALL(IF(Id_Impression=$A71,ROW(Quantité_à_imprimer_12_2017)-MIN(ROW(Quantité_à_imprimer_12_2017))+1),COLUMNS($A$3:A71))),"")</f>
        <v>1</v>
      </c>
      <c r="S71" s="38" t="str">
        <f t="array" ref="S71">IFERROR(INDEX(Quantité_à_imprimer_12_2017,SMALL(IF(Id_Impression=$A71,ROW(Quantité_à_imprimer_12_2017)-MIN(ROW(Quantité_à_imprimer_12_2017))+1),COLUMNS($A$3:B71))),"")</f>
        <v/>
      </c>
      <c r="T71" s="38" t="str">
        <f t="array" ref="T71">IFERROR(INDEX(Quantité_à_imprimer_12_2017,SMALL(IF(Id_Impression=$A71,ROW(Quantité_à_imprimer_12_2017)-MIN(ROW(Quantité_à_imprimer_12_2017))+1),COLUMNS($A$3:C71))),"")</f>
        <v/>
      </c>
      <c r="U71" s="38" t="str">
        <f t="array" ref="U71">IFERROR(INDEX(Quantité_à_imprimer_12_2017,SMALL(IF(Id_Impression=$A71,ROW(Quantité_à_imprimer_12_2017)-MIN(ROW(Quantité_à_imprimer_12_2017))+1),COLUMNS($A$3:D71))),"")</f>
        <v/>
      </c>
      <c r="V71" s="38" t="str">
        <f t="array" ref="V71">IFERROR(INDEX(Quantité_à_imprimer_12_2017,SMALL(IF(Id_Impression=$A71,ROW(Quantité_à_imprimer_12_2017)-MIN(ROW(Quantité_à_imprimer_12_2017))+1),COLUMNS($A$3:E71))),"")</f>
        <v/>
      </c>
      <c r="W71" s="38" t="str">
        <f t="array" ref="W71">IFERROR(INDEX(Quantité_à_imprimer_12_2017,SMALL(IF(Id_Impression=$A71,ROW(Quantité_à_imprimer_12_2017)-MIN(ROW(Quantité_à_imprimer_12_2017))+1),COLUMNS($A$3:F71))),"")</f>
        <v/>
      </c>
      <c r="X71" s="38" t="str">
        <f t="array" ref="X71">IFERROR(INDEX(Quantité_à_imprimer_12_2017,SMALL(IF(Id_Impression=$A71,ROW(Quantité_à_imprimer_12_2017)-MIN(ROW(Quantité_à_imprimer_12_2017))+1),COLUMNS($A$3:G71))),"")</f>
        <v/>
      </c>
    </row>
    <row r="72" spans="1:24" x14ac:dyDescent="0.55000000000000004">
      <c r="A72" s="40">
        <v>71</v>
      </c>
      <c r="B72" s="36">
        <f t="shared" si="1"/>
        <v>0.16180555555555556</v>
      </c>
      <c r="C72" s="37">
        <v>2</v>
      </c>
      <c r="D72" s="38" t="str">
        <f t="array" ref="D72">IFERROR(INDEX(Fichier_initial,SMALL(IF(Id_Impression=$A72,ROW(Fichier_initial)-MIN(ROW(Fichier_initial))+1),COLUMNS($A72:A72))),"")</f>
        <v>BackHolderCenterLeftV1</v>
      </c>
      <c r="E72" s="38" t="str">
        <f t="array" ref="E72">IFERROR(INDEX(Fichier_initial,SMALL(IF(Id_Impression=$A72,ROW(Fichier_initial)-MIN(ROW(Fichier_initial))+1),COLUMNS($A72:B72))),"")</f>
        <v>BackCoverBottomMidV2</v>
      </c>
      <c r="F72" s="38" t="str">
        <f t="array" ref="F72">IFERROR(INDEX(Fichier_initial,SMALL(IF(Id_Impression=$A72,ROW(Fichier_initial)-MIN(ROW(Fichier_initial))+1),COLUMNS($A72:C72))),"")</f>
        <v/>
      </c>
      <c r="G72" s="38" t="str">
        <f t="array" ref="G72">IFERROR(INDEX(Fichier_initial,SMALL(IF(Id_Impression=$A72,ROW(Fichier_initial)-MIN(ROW(Fichier_initial))+1),COLUMNS($A72:D72))),"")</f>
        <v/>
      </c>
      <c r="H72" s="38" t="str">
        <f t="array" ref="H72">IFERROR(INDEX(Fichier_initial,SMALL(IF(Id_Impression=$A72,ROW(Fichier_initial)-MIN(ROW(Fichier_initial))+1),COLUMNS($A72:E72))),"")</f>
        <v/>
      </c>
      <c r="I72" s="38" t="str">
        <f t="array" ref="I72">IFERROR(INDEX(Fichier_initial,SMALL(IF(Id_Impression=$A72,ROW(Fichier_initial)-MIN(ROW(Fichier_initial))+1),COLUMNS($A72:F72))),"")</f>
        <v/>
      </c>
      <c r="J72" s="38" t="str">
        <f t="array" ref="J72">IFERROR(INDEX(Fichier_initial,SMALL(IF(Id_Impression=$A72,ROW(Fichier_initial)-MIN(ROW(Fichier_initial))+1),COLUMNS($A72:G72))),"")</f>
        <v/>
      </c>
      <c r="K72" s="39">
        <f t="array" ref="K72">IFERROR(INDEX(Temps_Total,SMALL(IF(Id_Impression=$A72,ROW(Temps_Total)-MIN(ROW(Temps_Total))+1),COLUMNS($A$3:A72))),"")</f>
        <v>4.0972222222222222E-2</v>
      </c>
      <c r="L72" s="39">
        <f t="array" ref="L72">IFERROR(INDEX(Temps_Total,SMALL(IF(Id_Impression=$A72,ROW(Temps_Total)-MIN(ROW(Temps_Total))+1),COLUMNS($A$3:B72))),"")</f>
        <v>0.12083333333333333</v>
      </c>
      <c r="M72" s="39" t="str">
        <f t="array" ref="M72">IFERROR(INDEX(Temps_Total,SMALL(IF(Id_Impression=$A72,ROW(Temps_Total)-MIN(ROW(Temps_Total))+1),COLUMNS($A$3:C72))),"")</f>
        <v/>
      </c>
      <c r="N72" s="39" t="str">
        <f t="array" ref="N72">IFERROR(INDEX(Temps_Total,SMALL(IF(Id_Impression=$A72,ROW(Temps_Total)-MIN(ROW(Temps_Total))+1),COLUMNS($A$3:D72))),"")</f>
        <v/>
      </c>
      <c r="O72" s="39" t="str">
        <f t="array" ref="O72">IFERROR(INDEX(Temps_Total,SMALL(IF(Id_Impression=$A72,ROW(Temps_Total)-MIN(ROW(Temps_Total))+1),COLUMNS($A$3:E72))),"")</f>
        <v/>
      </c>
      <c r="P72" s="39" t="str">
        <f t="array" ref="P72">IFERROR(INDEX(Temps_Total,SMALL(IF(Id_Impression=$A72,ROW(Temps_Total)-MIN(ROW(Temps_Total))+1),COLUMNS($A$3:F72))),"")</f>
        <v/>
      </c>
      <c r="Q72" s="39" t="str">
        <f t="array" ref="Q72">IFERROR(INDEX(Temps_Total,SMALL(IF(Id_Impression=$A72,ROW(Temps_Total)-MIN(ROW(Temps_Total))+1),COLUMNS($A$3:G72))),"")</f>
        <v/>
      </c>
      <c r="R72" s="38">
        <f t="array" ref="R72">IFERROR(INDEX(Quantité_à_imprimer_12_2017,SMALL(IF(Id_Impression=$A72,ROW(Quantité_à_imprimer_12_2017)-MIN(ROW(Quantité_à_imprimer_12_2017))+1),COLUMNS($A$3:A72))),"")</f>
        <v>1</v>
      </c>
      <c r="S72" s="38">
        <f t="array" ref="S72">IFERROR(INDEX(Quantité_à_imprimer_12_2017,SMALL(IF(Id_Impression=$A72,ROW(Quantité_à_imprimer_12_2017)-MIN(ROW(Quantité_à_imprimer_12_2017))+1),COLUMNS($A$3:B72))),"")</f>
        <v>1</v>
      </c>
      <c r="T72" s="38" t="str">
        <f t="array" ref="T72">IFERROR(INDEX(Quantité_à_imprimer_12_2017,SMALL(IF(Id_Impression=$A72,ROW(Quantité_à_imprimer_12_2017)-MIN(ROW(Quantité_à_imprimer_12_2017))+1),COLUMNS($A$3:C72))),"")</f>
        <v/>
      </c>
      <c r="U72" s="38" t="str">
        <f t="array" ref="U72">IFERROR(INDEX(Quantité_à_imprimer_12_2017,SMALL(IF(Id_Impression=$A72,ROW(Quantité_à_imprimer_12_2017)-MIN(ROW(Quantité_à_imprimer_12_2017))+1),COLUMNS($A$3:D72))),"")</f>
        <v/>
      </c>
      <c r="V72" s="38" t="str">
        <f t="array" ref="V72">IFERROR(INDEX(Quantité_à_imprimer_12_2017,SMALL(IF(Id_Impression=$A72,ROW(Quantité_à_imprimer_12_2017)-MIN(ROW(Quantité_à_imprimer_12_2017))+1),COLUMNS($A$3:E72))),"")</f>
        <v/>
      </c>
      <c r="W72" s="38" t="str">
        <f t="array" ref="W72">IFERROR(INDEX(Quantité_à_imprimer_12_2017,SMALL(IF(Id_Impression=$A72,ROW(Quantité_à_imprimer_12_2017)-MIN(ROW(Quantité_à_imprimer_12_2017))+1),COLUMNS($A$3:F72))),"")</f>
        <v/>
      </c>
      <c r="X72" s="38" t="str">
        <f t="array" ref="X72">IFERROR(INDEX(Quantité_à_imprimer_12_2017,SMALL(IF(Id_Impression=$A72,ROW(Quantité_à_imprimer_12_2017)-MIN(ROW(Quantité_à_imprimer_12_2017))+1),COLUMNS($A$3:G72))),"")</f>
        <v/>
      </c>
    </row>
    <row r="73" spans="1:24" x14ac:dyDescent="0.55000000000000004">
      <c r="A73" s="40">
        <v>72</v>
      </c>
      <c r="B73" s="36">
        <f t="shared" si="1"/>
        <v>0.31805555555555559</v>
      </c>
      <c r="C73" s="37">
        <v>4</v>
      </c>
      <c r="D73" s="38" t="str">
        <f t="array" ref="D73">IFERROR(INDEX(Fichier_initial,SMALL(IF(Id_Impression=$A73,ROW(Fichier_initial)-MIN(ROW(Fichier_initial))+1),COLUMNS($A73:A73))),"")</f>
        <v>BackCoverTopMid.V2</v>
      </c>
      <c r="E73" s="38" t="str">
        <f t="array" ref="E73">IFERROR(INDEX(Fichier_initial,SMALL(IF(Id_Impression=$A73,ROW(Fichier_initial)-MIN(ROW(Fichier_initial))+1),COLUMNS($A73:B73))),"")</f>
        <v>BackClaviHolderV2</v>
      </c>
      <c r="F73" s="38" t="str">
        <f t="array" ref="F73">IFERROR(INDEX(Fichier_initial,SMALL(IF(Id_Impression=$A73,ROW(Fichier_initial)-MIN(ROW(Fichier_initial))+1),COLUMNS($A73:C73))),"")</f>
        <v>BackDoorClipV1</v>
      </c>
      <c r="G73" s="38" t="str">
        <f t="array" ref="G73">IFERROR(INDEX(Fichier_initial,SMALL(IF(Id_Impression=$A73,ROW(Fichier_initial)-MIN(ROW(Fichier_initial))+1),COLUMNS($A73:D73))),"")</f>
        <v>BackHipsMidV2</v>
      </c>
      <c r="H73" s="38" t="str">
        <f t="array" ref="H73">IFERROR(INDEX(Fichier_initial,SMALL(IF(Id_Impression=$A73,ROW(Fichier_initial)-MIN(ROW(Fichier_initial))+1),COLUMNS($A73:E73))),"")</f>
        <v/>
      </c>
      <c r="I73" s="38" t="str">
        <f t="array" ref="I73">IFERROR(INDEX(Fichier_initial,SMALL(IF(Id_Impression=$A73,ROW(Fichier_initial)-MIN(ROW(Fichier_initial))+1),COLUMNS($A73:F73))),"")</f>
        <v/>
      </c>
      <c r="J73" s="38" t="str">
        <f t="array" ref="J73">IFERROR(INDEX(Fichier_initial,SMALL(IF(Id_Impression=$A73,ROW(Fichier_initial)-MIN(ROW(Fichier_initial))+1),COLUMNS($A73:G73))),"")</f>
        <v/>
      </c>
      <c r="K73" s="39">
        <f t="array" ref="K73">IFERROR(INDEX(Temps_Total,SMALL(IF(Id_Impression=$A73,ROW(Temps_Total)-MIN(ROW(Temps_Total))+1),COLUMNS($A$3:A73))),"")</f>
        <v>6.3194444444444442E-2</v>
      </c>
      <c r="L73" s="39">
        <f t="array" ref="L73">IFERROR(INDEX(Temps_Total,SMALL(IF(Id_Impression=$A73,ROW(Temps_Total)-MIN(ROW(Temps_Total))+1),COLUMNS($A$3:B73))),"")</f>
        <v>7.3611111111111113E-2</v>
      </c>
      <c r="M73" s="39">
        <f t="array" ref="M73">IFERROR(INDEX(Temps_Total,SMALL(IF(Id_Impression=$A73,ROW(Temps_Total)-MIN(ROW(Temps_Total))+1),COLUMNS($A$3:C73))),"")</f>
        <v>8.8888888888888892E-2</v>
      </c>
      <c r="N73" s="39">
        <f t="array" ref="N73">IFERROR(INDEX(Temps_Total,SMALL(IF(Id_Impression=$A73,ROW(Temps_Total)-MIN(ROW(Temps_Total))+1),COLUMNS($A$3:D73))),"")</f>
        <v>9.2361111111111116E-2</v>
      </c>
      <c r="O73" s="39" t="str">
        <f t="array" ref="O73">IFERROR(INDEX(Temps_Total,SMALL(IF(Id_Impression=$A73,ROW(Temps_Total)-MIN(ROW(Temps_Total))+1),COLUMNS($A$3:E73))),"")</f>
        <v/>
      </c>
      <c r="P73" s="39" t="str">
        <f t="array" ref="P73">IFERROR(INDEX(Temps_Total,SMALL(IF(Id_Impression=$A73,ROW(Temps_Total)-MIN(ROW(Temps_Total))+1),COLUMNS($A$3:F73))),"")</f>
        <v/>
      </c>
      <c r="Q73" s="39" t="str">
        <f t="array" ref="Q73">IFERROR(INDEX(Temps_Total,SMALL(IF(Id_Impression=$A73,ROW(Temps_Total)-MIN(ROW(Temps_Total))+1),COLUMNS($A$3:G73))),"")</f>
        <v/>
      </c>
      <c r="R73" s="38">
        <f t="array" ref="R73">IFERROR(INDEX(Quantité_à_imprimer_12_2017,SMALL(IF(Id_Impression=$A73,ROW(Quantité_à_imprimer_12_2017)-MIN(ROW(Quantité_à_imprimer_12_2017))+1),COLUMNS($A$3:A73))),"")</f>
        <v>1</v>
      </c>
      <c r="S73" s="38">
        <f t="array" ref="S73">IFERROR(INDEX(Quantité_à_imprimer_12_2017,SMALL(IF(Id_Impression=$A73,ROW(Quantité_à_imprimer_12_2017)-MIN(ROW(Quantité_à_imprimer_12_2017))+1),COLUMNS($A$3:B73))),"")</f>
        <v>1</v>
      </c>
      <c r="T73" s="38">
        <f t="array" ref="T73">IFERROR(INDEX(Quantité_à_imprimer_12_2017,SMALL(IF(Id_Impression=$A73,ROW(Quantité_à_imprimer_12_2017)-MIN(ROW(Quantité_à_imprimer_12_2017))+1),COLUMNS($A$3:C73))),"")</f>
        <v>1</v>
      </c>
      <c r="U73" s="38">
        <f t="array" ref="U73">IFERROR(INDEX(Quantité_à_imprimer_12_2017,SMALL(IF(Id_Impression=$A73,ROW(Quantité_à_imprimer_12_2017)-MIN(ROW(Quantité_à_imprimer_12_2017))+1),COLUMNS($A$3:D73))),"")</f>
        <v>1</v>
      </c>
      <c r="V73" s="38" t="str">
        <f t="array" ref="V73">IFERROR(INDEX(Quantité_à_imprimer_12_2017,SMALL(IF(Id_Impression=$A73,ROW(Quantité_à_imprimer_12_2017)-MIN(ROW(Quantité_à_imprimer_12_2017))+1),COLUMNS($A$3:E73))),"")</f>
        <v/>
      </c>
      <c r="W73" s="38" t="str">
        <f t="array" ref="W73">IFERROR(INDEX(Quantité_à_imprimer_12_2017,SMALL(IF(Id_Impression=$A73,ROW(Quantité_à_imprimer_12_2017)-MIN(ROW(Quantité_à_imprimer_12_2017))+1),COLUMNS($A$3:F73))),"")</f>
        <v/>
      </c>
      <c r="X73" s="38" t="str">
        <f t="array" ref="X73">IFERROR(INDEX(Quantité_à_imprimer_12_2017,SMALL(IF(Id_Impression=$A73,ROW(Quantité_à_imprimer_12_2017)-MIN(ROW(Quantité_à_imprimer_12_2017))+1),COLUMNS($A$3:G73))),"")</f>
        <v/>
      </c>
    </row>
    <row r="74" spans="1:24" x14ac:dyDescent="0.55000000000000004">
      <c r="A74" s="40">
        <v>73</v>
      </c>
      <c r="B74" s="36">
        <f t="shared" si="1"/>
        <v>0.33194444444444443</v>
      </c>
      <c r="C74" s="37">
        <v>4</v>
      </c>
      <c r="D74" s="38" t="str">
        <f t="array" ref="D74">IFERROR(INDEX(Fichier_initial,SMALL(IF(Id_Impression=$A74,ROW(Fichier_initial)-MIN(ROW(Fichier_initial))+1),COLUMNS($A74:A74))),"")</f>
        <v>BackHipsRightV2</v>
      </c>
      <c r="E74" s="38" t="str">
        <f t="array" ref="E74">IFERROR(INDEX(Fichier_initial,SMALL(IF(Id_Impression=$A74,ROW(Fichier_initial)-MIN(ROW(Fichier_initial))+1),COLUMNS($A74:B74))),"")</f>
        <v>RingV1</v>
      </c>
      <c r="F74" s="38" t="str">
        <f t="array" ref="F74">IFERROR(INDEX(Fichier_initial,SMALL(IF(Id_Impression=$A74,ROW(Fichier_initial)-MIN(ROW(Fichier_initial))+1),COLUMNS($A74:C74))),"")</f>
        <v>BackHolderCenterV1</v>
      </c>
      <c r="G74" s="38" t="str">
        <f t="array" ref="G74">IFERROR(INDEX(Fichier_initial,SMALL(IF(Id_Impression=$A74,ROW(Fichier_initial)-MIN(ROW(Fichier_initial))+1),COLUMNS($A74:D74))),"")</f>
        <v>BatteryHolderLeftV3</v>
      </c>
      <c r="H74" s="38" t="str">
        <f t="array" ref="H74">IFERROR(INDEX(Fichier_initial,SMALL(IF(Id_Impression=$A74,ROW(Fichier_initial)-MIN(ROW(Fichier_initial))+1),COLUMNS($A74:E74))),"")</f>
        <v/>
      </c>
      <c r="I74" s="38" t="str">
        <f t="array" ref="I74">IFERROR(INDEX(Fichier_initial,SMALL(IF(Id_Impression=$A74,ROW(Fichier_initial)-MIN(ROW(Fichier_initial))+1),COLUMNS($A74:F74))),"")</f>
        <v/>
      </c>
      <c r="J74" s="38" t="str">
        <f t="array" ref="J74">IFERROR(INDEX(Fichier_initial,SMALL(IF(Id_Impression=$A74,ROW(Fichier_initial)-MIN(ROW(Fichier_initial))+1),COLUMNS($A74:G74))),"")</f>
        <v/>
      </c>
      <c r="K74" s="39">
        <f t="array" ref="K74">IFERROR(INDEX(Temps_Total,SMALL(IF(Id_Impression=$A74,ROW(Temps_Total)-MIN(ROW(Temps_Total))+1),COLUMNS($A$3:A74))),"")</f>
        <v>0.14791666666666667</v>
      </c>
      <c r="L74" s="39">
        <f t="array" ref="L74">IFERROR(INDEX(Temps_Total,SMALL(IF(Id_Impression=$A74,ROW(Temps_Total)-MIN(ROW(Temps_Total))+1),COLUMNS($A$3:B74))),"")</f>
        <v>2.6388888888888889E-2</v>
      </c>
      <c r="M74" s="39">
        <f t="array" ref="M74">IFERROR(INDEX(Temps_Total,SMALL(IF(Id_Impression=$A74,ROW(Temps_Total)-MIN(ROW(Temps_Total))+1),COLUMNS($A$3:C74))),"")</f>
        <v>6.805555555555555E-2</v>
      </c>
      <c r="N74" s="39">
        <f t="array" ref="N74">IFERROR(INDEX(Temps_Total,SMALL(IF(Id_Impression=$A74,ROW(Temps_Total)-MIN(ROW(Temps_Total))+1),COLUMNS($A$3:D74))),"")</f>
        <v>8.9583333333333334E-2</v>
      </c>
      <c r="O74" s="39" t="str">
        <f t="array" ref="O74">IFERROR(INDEX(Temps_Total,SMALL(IF(Id_Impression=$A74,ROW(Temps_Total)-MIN(ROW(Temps_Total))+1),COLUMNS($A$3:E74))),"")</f>
        <v/>
      </c>
      <c r="P74" s="39" t="str">
        <f t="array" ref="P74">IFERROR(INDEX(Temps_Total,SMALL(IF(Id_Impression=$A74,ROW(Temps_Total)-MIN(ROW(Temps_Total))+1),COLUMNS($A$3:F74))),"")</f>
        <v/>
      </c>
      <c r="Q74" s="39" t="str">
        <f t="array" ref="Q74">IFERROR(INDEX(Temps_Total,SMALL(IF(Id_Impression=$A74,ROW(Temps_Total)-MIN(ROW(Temps_Total))+1),COLUMNS($A$3:G74))),"")</f>
        <v/>
      </c>
      <c r="R74" s="38">
        <f t="array" ref="R74">IFERROR(INDEX(Quantité_à_imprimer_12_2017,SMALL(IF(Id_Impression=$A74,ROW(Quantité_à_imprimer_12_2017)-MIN(ROW(Quantité_à_imprimer_12_2017))+1),COLUMNS($A$3:A74))),"")</f>
        <v>1</v>
      </c>
      <c r="S74" s="38">
        <f t="array" ref="S74">IFERROR(INDEX(Quantité_à_imprimer_12_2017,SMALL(IF(Id_Impression=$A74,ROW(Quantité_à_imprimer_12_2017)-MIN(ROW(Quantité_à_imprimer_12_2017))+1),COLUMNS($A$3:B74))),"")</f>
        <v>1</v>
      </c>
      <c r="T74" s="38">
        <f t="array" ref="T74">IFERROR(INDEX(Quantité_à_imprimer_12_2017,SMALL(IF(Id_Impression=$A74,ROW(Quantité_à_imprimer_12_2017)-MIN(ROW(Quantité_à_imprimer_12_2017))+1),COLUMNS($A$3:C74))),"")</f>
        <v>1</v>
      </c>
      <c r="U74" s="38">
        <f t="array" ref="U74">IFERROR(INDEX(Quantité_à_imprimer_12_2017,SMALL(IF(Id_Impression=$A74,ROW(Quantité_à_imprimer_12_2017)-MIN(ROW(Quantité_à_imprimer_12_2017))+1),COLUMNS($A$3:D74))),"")</f>
        <v>1</v>
      </c>
      <c r="V74" s="38" t="str">
        <f t="array" ref="V74">IFERROR(INDEX(Quantité_à_imprimer_12_2017,SMALL(IF(Id_Impression=$A74,ROW(Quantité_à_imprimer_12_2017)-MIN(ROW(Quantité_à_imprimer_12_2017))+1),COLUMNS($A$3:E74))),"")</f>
        <v/>
      </c>
      <c r="W74" s="38" t="str">
        <f t="array" ref="W74">IFERROR(INDEX(Quantité_à_imprimer_12_2017,SMALL(IF(Id_Impression=$A74,ROW(Quantité_à_imprimer_12_2017)-MIN(ROW(Quantité_à_imprimer_12_2017))+1),COLUMNS($A$3:F74))),"")</f>
        <v/>
      </c>
      <c r="X74" s="38" t="str">
        <f t="array" ref="X74">IFERROR(INDEX(Quantité_à_imprimer_12_2017,SMALL(IF(Id_Impression=$A74,ROW(Quantité_à_imprimer_12_2017)-MIN(ROW(Quantité_à_imprimer_12_2017))+1),COLUMNS($A$3:G74))),"")</f>
        <v/>
      </c>
    </row>
    <row r="75" spans="1:24" x14ac:dyDescent="0.55000000000000004">
      <c r="A75" s="40">
        <v>74</v>
      </c>
      <c r="B75" s="36">
        <f t="shared" si="1"/>
        <v>0.15138888888888891</v>
      </c>
      <c r="C75" s="37">
        <v>2</v>
      </c>
      <c r="D75" s="38" t="str">
        <f t="array" ref="D75">IFERROR(INDEX(Fichier_initial,SMALL(IF(Id_Impression=$A75,ROW(Fichier_initial)-MIN(ROW(Fichier_initial))+1),COLUMNS($A75:A75))),"")</f>
        <v>BatteryHolderRightV3</v>
      </c>
      <c r="E75" s="38" t="str">
        <f t="array" ref="E75">IFERROR(INDEX(Fichier_initial,SMALL(IF(Id_Impression=$A75,ROW(Fichier_initial)-MIN(ROW(Fichier_initial))+1),COLUMNS($A75:B75))),"")</f>
        <v>FaceHolderV3</v>
      </c>
      <c r="F75" s="38" t="str">
        <f t="array" ref="F75">IFERROR(INDEX(Fichier_initial,SMALL(IF(Id_Impression=$A75,ROW(Fichier_initial)-MIN(ROW(Fichier_initial))+1),COLUMNS($A75:C75))),"")</f>
        <v/>
      </c>
      <c r="G75" s="38" t="str">
        <f t="array" ref="G75">IFERROR(INDEX(Fichier_initial,SMALL(IF(Id_Impression=$A75,ROW(Fichier_initial)-MIN(ROW(Fichier_initial))+1),COLUMNS($A75:D75))),"")</f>
        <v/>
      </c>
      <c r="H75" s="38" t="str">
        <f t="array" ref="H75">IFERROR(INDEX(Fichier_initial,SMALL(IF(Id_Impression=$A75,ROW(Fichier_initial)-MIN(ROW(Fichier_initial))+1),COLUMNS($A75:E75))),"")</f>
        <v/>
      </c>
      <c r="I75" s="38" t="str">
        <f t="array" ref="I75">IFERROR(INDEX(Fichier_initial,SMALL(IF(Id_Impression=$A75,ROW(Fichier_initial)-MIN(ROW(Fichier_initial))+1),COLUMNS($A75:F75))),"")</f>
        <v/>
      </c>
      <c r="J75" s="38" t="str">
        <f t="array" ref="J75">IFERROR(INDEX(Fichier_initial,SMALL(IF(Id_Impression=$A75,ROW(Fichier_initial)-MIN(ROW(Fichier_initial))+1),COLUMNS($A75:G75))),"")</f>
        <v/>
      </c>
      <c r="K75" s="39">
        <f t="array" ref="K75">IFERROR(INDEX(Temps_Total,SMALL(IF(Id_Impression=$A75,ROW(Temps_Total)-MIN(ROW(Temps_Total))+1),COLUMNS($A$3:A75))),"")</f>
        <v>8.819444444444445E-2</v>
      </c>
      <c r="L75" s="39">
        <f t="array" ref="L75">IFERROR(INDEX(Temps_Total,SMALL(IF(Id_Impression=$A75,ROW(Temps_Total)-MIN(ROW(Temps_Total))+1),COLUMNS($A$3:B75))),"")</f>
        <v>6.3194444444444442E-2</v>
      </c>
      <c r="M75" s="39" t="str">
        <f t="array" ref="M75">IFERROR(INDEX(Temps_Total,SMALL(IF(Id_Impression=$A75,ROW(Temps_Total)-MIN(ROW(Temps_Total))+1),COLUMNS($A$3:C75))),"")</f>
        <v/>
      </c>
      <c r="N75" s="39" t="str">
        <f t="array" ref="N75">IFERROR(INDEX(Temps_Total,SMALL(IF(Id_Impression=$A75,ROW(Temps_Total)-MIN(ROW(Temps_Total))+1),COLUMNS($A$3:D75))),"")</f>
        <v/>
      </c>
      <c r="O75" s="39" t="str">
        <f t="array" ref="O75">IFERROR(INDEX(Temps_Total,SMALL(IF(Id_Impression=$A75,ROW(Temps_Total)-MIN(ROW(Temps_Total))+1),COLUMNS($A$3:E75))),"")</f>
        <v/>
      </c>
      <c r="P75" s="39" t="str">
        <f t="array" ref="P75">IFERROR(INDEX(Temps_Total,SMALL(IF(Id_Impression=$A75,ROW(Temps_Total)-MIN(ROW(Temps_Total))+1),COLUMNS($A$3:F75))),"")</f>
        <v/>
      </c>
      <c r="Q75" s="39" t="str">
        <f t="array" ref="Q75">IFERROR(INDEX(Temps_Total,SMALL(IF(Id_Impression=$A75,ROW(Temps_Total)-MIN(ROW(Temps_Total))+1),COLUMNS($A$3:G75))),"")</f>
        <v/>
      </c>
      <c r="R75" s="38">
        <f t="array" ref="R75">IFERROR(INDEX(Quantité_à_imprimer_12_2017,SMALL(IF(Id_Impression=$A75,ROW(Quantité_à_imprimer_12_2017)-MIN(ROW(Quantité_à_imprimer_12_2017))+1),COLUMNS($A$3:A75))),"")</f>
        <v>1</v>
      </c>
      <c r="S75" s="38">
        <f t="array" ref="S75">IFERROR(INDEX(Quantité_à_imprimer_12_2017,SMALL(IF(Id_Impression=$A75,ROW(Quantité_à_imprimer_12_2017)-MIN(ROW(Quantité_à_imprimer_12_2017))+1),COLUMNS($A$3:B75))),"")</f>
        <v>1</v>
      </c>
      <c r="T75" s="38" t="str">
        <f t="array" ref="T75">IFERROR(INDEX(Quantité_à_imprimer_12_2017,SMALL(IF(Id_Impression=$A75,ROW(Quantité_à_imprimer_12_2017)-MIN(ROW(Quantité_à_imprimer_12_2017))+1),COLUMNS($A$3:C75))),"")</f>
        <v/>
      </c>
      <c r="U75" s="38" t="str">
        <f t="array" ref="U75">IFERROR(INDEX(Quantité_à_imprimer_12_2017,SMALL(IF(Id_Impression=$A75,ROW(Quantité_à_imprimer_12_2017)-MIN(ROW(Quantité_à_imprimer_12_2017))+1),COLUMNS($A$3:D75))),"")</f>
        <v/>
      </c>
      <c r="V75" s="38" t="str">
        <f t="array" ref="V75">IFERROR(INDEX(Quantité_à_imprimer_12_2017,SMALL(IF(Id_Impression=$A75,ROW(Quantité_à_imprimer_12_2017)-MIN(ROW(Quantité_à_imprimer_12_2017))+1),COLUMNS($A$3:E75))),"")</f>
        <v/>
      </c>
      <c r="W75" s="38" t="str">
        <f t="array" ref="W75">IFERROR(INDEX(Quantité_à_imprimer_12_2017,SMALL(IF(Id_Impression=$A75,ROW(Quantité_à_imprimer_12_2017)-MIN(ROW(Quantité_à_imprimer_12_2017))+1),COLUMNS($A$3:F75))),"")</f>
        <v/>
      </c>
      <c r="X75" s="38" t="str">
        <f t="array" ref="X75">IFERROR(INDEX(Quantité_à_imprimer_12_2017,SMALL(IF(Id_Impression=$A75,ROW(Quantité_à_imprimer_12_2017)-MIN(ROW(Quantité_à_imprimer_12_2017))+1),COLUMNS($A$3:G75))),"")</f>
        <v/>
      </c>
    </row>
    <row r="76" spans="1:24" x14ac:dyDescent="0.55000000000000004">
      <c r="A76" s="40">
        <v>75</v>
      </c>
      <c r="B76" s="36">
        <f t="shared" si="1"/>
        <v>0.14791666666666667</v>
      </c>
      <c r="C76" s="37">
        <v>1</v>
      </c>
      <c r="D76" s="38" t="str">
        <f t="array" ref="D76">IFERROR(INDEX(Fichier_initial,SMALL(IF(Id_Impression=$A76,ROW(Fichier_initial)-MIN(ROW(Fichier_initial))+1),COLUMNS($A76:A76))),"")</f>
        <v>BackHipsLeftV2</v>
      </c>
      <c r="E76" s="38" t="str">
        <f t="array" ref="E76">IFERROR(INDEX(Fichier_initial,SMALL(IF(Id_Impression=$A76,ROW(Fichier_initial)-MIN(ROW(Fichier_initial))+1),COLUMNS($A76:B76))),"")</f>
        <v/>
      </c>
      <c r="F76" s="38" t="str">
        <f t="array" ref="F76">IFERROR(INDEX(Fichier_initial,SMALL(IF(Id_Impression=$A76,ROW(Fichier_initial)-MIN(ROW(Fichier_initial))+1),COLUMNS($A76:C76))),"")</f>
        <v/>
      </c>
      <c r="G76" s="38" t="str">
        <f t="array" ref="G76">IFERROR(INDEX(Fichier_initial,SMALL(IF(Id_Impression=$A76,ROW(Fichier_initial)-MIN(ROW(Fichier_initial))+1),COLUMNS($A76:D76))),"")</f>
        <v/>
      </c>
      <c r="H76" s="38" t="str">
        <f t="array" ref="H76">IFERROR(INDEX(Fichier_initial,SMALL(IF(Id_Impression=$A76,ROW(Fichier_initial)-MIN(ROW(Fichier_initial))+1),COLUMNS($A76:E76))),"")</f>
        <v/>
      </c>
      <c r="I76" s="38" t="str">
        <f t="array" ref="I76">IFERROR(INDEX(Fichier_initial,SMALL(IF(Id_Impression=$A76,ROW(Fichier_initial)-MIN(ROW(Fichier_initial))+1),COLUMNS($A76:F76))),"")</f>
        <v/>
      </c>
      <c r="J76" s="38" t="str">
        <f t="array" ref="J76">IFERROR(INDEX(Fichier_initial,SMALL(IF(Id_Impression=$A76,ROW(Fichier_initial)-MIN(ROW(Fichier_initial))+1),COLUMNS($A76:G76))),"")</f>
        <v/>
      </c>
      <c r="K76" s="39">
        <f t="array" ref="K76">IFERROR(INDEX(Temps_Total,SMALL(IF(Id_Impression=$A76,ROW(Temps_Total)-MIN(ROW(Temps_Total))+1),COLUMNS($A$3:A76))),"")</f>
        <v>0.14791666666666667</v>
      </c>
      <c r="L76" s="39" t="str">
        <f t="array" ref="L76">IFERROR(INDEX(Temps_Total,SMALL(IF(Id_Impression=$A76,ROW(Temps_Total)-MIN(ROW(Temps_Total))+1),COLUMNS($A$3:B76))),"")</f>
        <v/>
      </c>
      <c r="M76" s="39" t="str">
        <f t="array" ref="M76">IFERROR(INDEX(Temps_Total,SMALL(IF(Id_Impression=$A76,ROW(Temps_Total)-MIN(ROW(Temps_Total))+1),COLUMNS($A$3:C76))),"")</f>
        <v/>
      </c>
      <c r="N76" s="39" t="str">
        <f t="array" ref="N76">IFERROR(INDEX(Temps_Total,SMALL(IF(Id_Impression=$A76,ROW(Temps_Total)-MIN(ROW(Temps_Total))+1),COLUMNS($A$3:D76))),"")</f>
        <v/>
      </c>
      <c r="O76" s="39" t="str">
        <f t="array" ref="O76">IFERROR(INDEX(Temps_Total,SMALL(IF(Id_Impression=$A76,ROW(Temps_Total)-MIN(ROW(Temps_Total))+1),COLUMNS($A$3:E76))),"")</f>
        <v/>
      </c>
      <c r="P76" s="39" t="str">
        <f t="array" ref="P76">IFERROR(INDEX(Temps_Total,SMALL(IF(Id_Impression=$A76,ROW(Temps_Total)-MIN(ROW(Temps_Total))+1),COLUMNS($A$3:F76))),"")</f>
        <v/>
      </c>
      <c r="Q76" s="39" t="str">
        <f t="array" ref="Q76">IFERROR(INDEX(Temps_Total,SMALL(IF(Id_Impression=$A76,ROW(Temps_Total)-MIN(ROW(Temps_Total))+1),COLUMNS($A$3:G76))),"")</f>
        <v/>
      </c>
      <c r="R76" s="38">
        <f t="array" ref="R76">IFERROR(INDEX(Quantité_à_imprimer_12_2017,SMALL(IF(Id_Impression=$A76,ROW(Quantité_à_imprimer_12_2017)-MIN(ROW(Quantité_à_imprimer_12_2017))+1),COLUMNS($A$3:A76))),"")</f>
        <v>1</v>
      </c>
      <c r="S76" s="38" t="str">
        <f t="array" ref="S76">IFERROR(INDEX(Quantité_à_imprimer_12_2017,SMALL(IF(Id_Impression=$A76,ROW(Quantité_à_imprimer_12_2017)-MIN(ROW(Quantité_à_imprimer_12_2017))+1),COLUMNS($A$3:B76))),"")</f>
        <v/>
      </c>
      <c r="T76" s="38" t="str">
        <f t="array" ref="T76">IFERROR(INDEX(Quantité_à_imprimer_12_2017,SMALL(IF(Id_Impression=$A76,ROW(Quantité_à_imprimer_12_2017)-MIN(ROW(Quantité_à_imprimer_12_2017))+1),COLUMNS($A$3:C76))),"")</f>
        <v/>
      </c>
      <c r="U76" s="38" t="str">
        <f t="array" ref="U76">IFERROR(INDEX(Quantité_à_imprimer_12_2017,SMALL(IF(Id_Impression=$A76,ROW(Quantité_à_imprimer_12_2017)-MIN(ROW(Quantité_à_imprimer_12_2017))+1),COLUMNS($A$3:D76))),"")</f>
        <v/>
      </c>
      <c r="V76" s="38" t="str">
        <f t="array" ref="V76">IFERROR(INDEX(Quantité_à_imprimer_12_2017,SMALL(IF(Id_Impression=$A76,ROW(Quantité_à_imprimer_12_2017)-MIN(ROW(Quantité_à_imprimer_12_2017))+1),COLUMNS($A$3:E76))),"")</f>
        <v/>
      </c>
      <c r="W76" s="38" t="str">
        <f t="array" ref="W76">IFERROR(INDEX(Quantité_à_imprimer_12_2017,SMALL(IF(Id_Impression=$A76,ROW(Quantité_à_imprimer_12_2017)-MIN(ROW(Quantité_à_imprimer_12_2017))+1),COLUMNS($A$3:F76))),"")</f>
        <v/>
      </c>
      <c r="X76" s="38" t="str">
        <f t="array" ref="X76">IFERROR(INDEX(Quantité_à_imprimer_12_2017,SMALL(IF(Id_Impression=$A76,ROW(Quantité_à_imprimer_12_2017)-MIN(ROW(Quantité_à_imprimer_12_2017))+1),COLUMNS($A$3:G76))),"")</f>
        <v/>
      </c>
    </row>
    <row r="77" spans="1:24" x14ac:dyDescent="0.55000000000000004">
      <c r="A77" s="40">
        <v>76</v>
      </c>
      <c r="B77" s="36">
        <f t="shared" si="1"/>
        <v>0.14930555555555555</v>
      </c>
      <c r="C77" s="37">
        <v>1</v>
      </c>
      <c r="D77" s="38" t="str">
        <f t="array" ref="D77">IFERROR(INDEX(Fichier_initial,SMALL(IF(Id_Impression=$A77,ROW(Fichier_initial)-MIN(ROW(Fichier_initial))+1),COLUMNS($A77:A77))),"")</f>
        <v>BackCoverLowRightV1</v>
      </c>
      <c r="E77" s="38" t="str">
        <f t="array" ref="E77">IFERROR(INDEX(Fichier_initial,SMALL(IF(Id_Impression=$A77,ROW(Fichier_initial)-MIN(ROW(Fichier_initial))+1),COLUMNS($A77:B77))),"")</f>
        <v/>
      </c>
      <c r="F77" s="38" t="str">
        <f t="array" ref="F77">IFERROR(INDEX(Fichier_initial,SMALL(IF(Id_Impression=$A77,ROW(Fichier_initial)-MIN(ROW(Fichier_initial))+1),COLUMNS($A77:C77))),"")</f>
        <v/>
      </c>
      <c r="G77" s="38" t="str">
        <f t="array" ref="G77">IFERROR(INDEX(Fichier_initial,SMALL(IF(Id_Impression=$A77,ROW(Fichier_initial)-MIN(ROW(Fichier_initial))+1),COLUMNS($A77:D77))),"")</f>
        <v/>
      </c>
      <c r="H77" s="38" t="str">
        <f t="array" ref="H77">IFERROR(INDEX(Fichier_initial,SMALL(IF(Id_Impression=$A77,ROW(Fichier_initial)-MIN(ROW(Fichier_initial))+1),COLUMNS($A77:E77))),"")</f>
        <v/>
      </c>
      <c r="I77" s="38" t="str">
        <f t="array" ref="I77">IFERROR(INDEX(Fichier_initial,SMALL(IF(Id_Impression=$A77,ROW(Fichier_initial)-MIN(ROW(Fichier_initial))+1),COLUMNS($A77:F77))),"")</f>
        <v/>
      </c>
      <c r="J77" s="38" t="str">
        <f t="array" ref="J77">IFERROR(INDEX(Fichier_initial,SMALL(IF(Id_Impression=$A77,ROW(Fichier_initial)-MIN(ROW(Fichier_initial))+1),COLUMNS($A77:G77))),"")</f>
        <v/>
      </c>
      <c r="K77" s="39">
        <f t="array" ref="K77">IFERROR(INDEX(Temps_Total,SMALL(IF(Id_Impression=$A77,ROW(Temps_Total)-MIN(ROW(Temps_Total))+1),COLUMNS($A$3:A77))),"")</f>
        <v>0.14930555555555555</v>
      </c>
      <c r="L77" s="39" t="str">
        <f t="array" ref="L77">IFERROR(INDEX(Temps_Total,SMALL(IF(Id_Impression=$A77,ROW(Temps_Total)-MIN(ROW(Temps_Total))+1),COLUMNS($A$3:B77))),"")</f>
        <v/>
      </c>
      <c r="M77" s="39" t="str">
        <f t="array" ref="M77">IFERROR(INDEX(Temps_Total,SMALL(IF(Id_Impression=$A77,ROW(Temps_Total)-MIN(ROW(Temps_Total))+1),COLUMNS($A$3:C77))),"")</f>
        <v/>
      </c>
      <c r="N77" s="39" t="str">
        <f t="array" ref="N77">IFERROR(INDEX(Temps_Total,SMALL(IF(Id_Impression=$A77,ROW(Temps_Total)-MIN(ROW(Temps_Total))+1),COLUMNS($A$3:D77))),"")</f>
        <v/>
      </c>
      <c r="O77" s="39" t="str">
        <f t="array" ref="O77">IFERROR(INDEX(Temps_Total,SMALL(IF(Id_Impression=$A77,ROW(Temps_Total)-MIN(ROW(Temps_Total))+1),COLUMNS($A$3:E77))),"")</f>
        <v/>
      </c>
      <c r="P77" s="39" t="str">
        <f t="array" ref="P77">IFERROR(INDEX(Temps_Total,SMALL(IF(Id_Impression=$A77,ROW(Temps_Total)-MIN(ROW(Temps_Total))+1),COLUMNS($A$3:F77))),"")</f>
        <v/>
      </c>
      <c r="Q77" s="39" t="str">
        <f t="array" ref="Q77">IFERROR(INDEX(Temps_Total,SMALL(IF(Id_Impression=$A77,ROW(Temps_Total)-MIN(ROW(Temps_Total))+1),COLUMNS($A$3:G77))),"")</f>
        <v/>
      </c>
      <c r="R77" s="38">
        <f t="array" ref="R77">IFERROR(INDEX(Quantité_à_imprimer_12_2017,SMALL(IF(Id_Impression=$A77,ROW(Quantité_à_imprimer_12_2017)-MIN(ROW(Quantité_à_imprimer_12_2017))+1),COLUMNS($A$3:A77))),"")</f>
        <v>1</v>
      </c>
      <c r="S77" s="38" t="str">
        <f t="array" ref="S77">IFERROR(INDEX(Quantité_à_imprimer_12_2017,SMALL(IF(Id_Impression=$A77,ROW(Quantité_à_imprimer_12_2017)-MIN(ROW(Quantité_à_imprimer_12_2017))+1),COLUMNS($A$3:B77))),"")</f>
        <v/>
      </c>
      <c r="T77" s="38" t="str">
        <f t="array" ref="T77">IFERROR(INDEX(Quantité_à_imprimer_12_2017,SMALL(IF(Id_Impression=$A77,ROW(Quantité_à_imprimer_12_2017)-MIN(ROW(Quantité_à_imprimer_12_2017))+1),COLUMNS($A$3:C77))),"")</f>
        <v/>
      </c>
      <c r="U77" s="38" t="str">
        <f t="array" ref="U77">IFERROR(INDEX(Quantité_à_imprimer_12_2017,SMALL(IF(Id_Impression=$A77,ROW(Quantité_à_imprimer_12_2017)-MIN(ROW(Quantité_à_imprimer_12_2017))+1),COLUMNS($A$3:D77))),"")</f>
        <v/>
      </c>
      <c r="V77" s="38" t="str">
        <f t="array" ref="V77">IFERROR(INDEX(Quantité_à_imprimer_12_2017,SMALL(IF(Id_Impression=$A77,ROW(Quantité_à_imprimer_12_2017)-MIN(ROW(Quantité_à_imprimer_12_2017))+1),COLUMNS($A$3:E77))),"")</f>
        <v/>
      </c>
      <c r="W77" s="38" t="str">
        <f t="array" ref="W77">IFERROR(INDEX(Quantité_à_imprimer_12_2017,SMALL(IF(Id_Impression=$A77,ROW(Quantité_à_imprimer_12_2017)-MIN(ROW(Quantité_à_imprimer_12_2017))+1),COLUMNS($A$3:F77))),"")</f>
        <v/>
      </c>
      <c r="X77" s="38" t="str">
        <f t="array" ref="X77">IFERROR(INDEX(Quantité_à_imprimer_12_2017,SMALL(IF(Id_Impression=$A77,ROW(Quantité_à_imprimer_12_2017)-MIN(ROW(Quantité_à_imprimer_12_2017))+1),COLUMNS($A$3:G77))),"")</f>
        <v/>
      </c>
    </row>
    <row r="78" spans="1:24" x14ac:dyDescent="0.55000000000000004">
      <c r="A78" s="40">
        <v>77</v>
      </c>
      <c r="B78" s="36">
        <f t="shared" si="1"/>
        <v>0</v>
      </c>
      <c r="C78" s="37">
        <v>0</v>
      </c>
      <c r="D78" s="38" t="str">
        <f t="array" ref="D78">IFERROR(INDEX(Fichier_initial,SMALL(IF(Id_Impression=$A78,ROW(Fichier_initial)-MIN(ROW(Fichier_initial))+1),COLUMNS($A78:A78))),"")</f>
        <v/>
      </c>
      <c r="E78" s="38" t="str">
        <f t="array" ref="E78">IFERROR(INDEX(Fichier_initial,SMALL(IF(Id_Impression=$A78,ROW(Fichier_initial)-MIN(ROW(Fichier_initial))+1),COLUMNS($A78:B78))),"")</f>
        <v/>
      </c>
      <c r="F78" s="38" t="str">
        <f t="array" ref="F78">IFERROR(INDEX(Fichier_initial,SMALL(IF(Id_Impression=$A78,ROW(Fichier_initial)-MIN(ROW(Fichier_initial))+1),COLUMNS($A78:C78))),"")</f>
        <v/>
      </c>
      <c r="G78" s="38" t="str">
        <f t="array" ref="G78">IFERROR(INDEX(Fichier_initial,SMALL(IF(Id_Impression=$A78,ROW(Fichier_initial)-MIN(ROW(Fichier_initial))+1),COLUMNS($A78:D78))),"")</f>
        <v/>
      </c>
      <c r="H78" s="38" t="str">
        <f t="array" ref="H78">IFERROR(INDEX(Fichier_initial,SMALL(IF(Id_Impression=$A78,ROW(Fichier_initial)-MIN(ROW(Fichier_initial))+1),COLUMNS($A78:E78))),"")</f>
        <v/>
      </c>
      <c r="I78" s="38" t="str">
        <f t="array" ref="I78">IFERROR(INDEX(Fichier_initial,SMALL(IF(Id_Impression=$A78,ROW(Fichier_initial)-MIN(ROW(Fichier_initial))+1),COLUMNS($A78:F78))),"")</f>
        <v/>
      </c>
      <c r="J78" s="38" t="str">
        <f t="array" ref="J78">IFERROR(INDEX(Fichier_initial,SMALL(IF(Id_Impression=$A78,ROW(Fichier_initial)-MIN(ROW(Fichier_initial))+1),COLUMNS($A78:G78))),"")</f>
        <v/>
      </c>
      <c r="K78" s="39" t="str">
        <f t="array" ref="K78">IFERROR(INDEX(Temps_Total,SMALL(IF(Id_Impression=$A78,ROW(Temps_Total)-MIN(ROW(Temps_Total))+1),COLUMNS($A$3:A78))),"")</f>
        <v/>
      </c>
      <c r="L78" s="39" t="str">
        <f t="array" ref="L78">IFERROR(INDEX(Temps_Total,SMALL(IF(Id_Impression=$A78,ROW(Temps_Total)-MIN(ROW(Temps_Total))+1),COLUMNS($A$3:B78))),"")</f>
        <v/>
      </c>
      <c r="M78" s="39" t="str">
        <f t="array" ref="M78">IFERROR(INDEX(Temps_Total,SMALL(IF(Id_Impression=$A78,ROW(Temps_Total)-MIN(ROW(Temps_Total))+1),COLUMNS($A$3:C78))),"")</f>
        <v/>
      </c>
      <c r="N78" s="39" t="str">
        <f t="array" ref="N78">IFERROR(INDEX(Temps_Total,SMALL(IF(Id_Impression=$A78,ROW(Temps_Total)-MIN(ROW(Temps_Total))+1),COLUMNS($A$3:D78))),"")</f>
        <v/>
      </c>
      <c r="O78" s="39" t="str">
        <f t="array" ref="O78">IFERROR(INDEX(Temps_Total,SMALL(IF(Id_Impression=$A78,ROW(Temps_Total)-MIN(ROW(Temps_Total))+1),COLUMNS($A$3:E78))),"")</f>
        <v/>
      </c>
      <c r="P78" s="39" t="str">
        <f t="array" ref="P78">IFERROR(INDEX(Temps_Total,SMALL(IF(Id_Impression=$A78,ROW(Temps_Total)-MIN(ROW(Temps_Total))+1),COLUMNS($A$3:F78))),"")</f>
        <v/>
      </c>
      <c r="Q78" s="39" t="str">
        <f t="array" ref="Q78">IFERROR(INDEX(Temps_Total,SMALL(IF(Id_Impression=$A78,ROW(Temps_Total)-MIN(ROW(Temps_Total))+1),COLUMNS($A$3:G78))),"")</f>
        <v/>
      </c>
      <c r="R78" s="38" t="str">
        <f t="array" ref="R78">IFERROR(INDEX(Quantité_à_imprimer_12_2017,SMALL(IF(Id_Impression=$A78,ROW(Quantité_à_imprimer_12_2017)-MIN(ROW(Quantité_à_imprimer_12_2017))+1),COLUMNS($A$3:A78))),"")</f>
        <v/>
      </c>
      <c r="S78" s="38" t="str">
        <f t="array" ref="S78">IFERROR(INDEX(Quantité_à_imprimer_12_2017,SMALL(IF(Id_Impression=$A78,ROW(Quantité_à_imprimer_12_2017)-MIN(ROW(Quantité_à_imprimer_12_2017))+1),COLUMNS($A$3:B78))),"")</f>
        <v/>
      </c>
      <c r="T78" s="38" t="str">
        <f t="array" ref="T78">IFERROR(INDEX(Quantité_à_imprimer_12_2017,SMALL(IF(Id_Impression=$A78,ROW(Quantité_à_imprimer_12_2017)-MIN(ROW(Quantité_à_imprimer_12_2017))+1),COLUMNS($A$3:C78))),"")</f>
        <v/>
      </c>
      <c r="U78" s="38" t="str">
        <f t="array" ref="U78">IFERROR(INDEX(Quantité_à_imprimer_12_2017,SMALL(IF(Id_Impression=$A78,ROW(Quantité_à_imprimer_12_2017)-MIN(ROW(Quantité_à_imprimer_12_2017))+1),COLUMNS($A$3:D78))),"")</f>
        <v/>
      </c>
      <c r="V78" s="38" t="str">
        <f t="array" ref="V78">IFERROR(INDEX(Quantité_à_imprimer_12_2017,SMALL(IF(Id_Impression=$A78,ROW(Quantité_à_imprimer_12_2017)-MIN(ROW(Quantité_à_imprimer_12_2017))+1),COLUMNS($A$3:E78))),"")</f>
        <v/>
      </c>
      <c r="W78" s="38" t="str">
        <f t="array" ref="W78">IFERROR(INDEX(Quantité_à_imprimer_12_2017,SMALL(IF(Id_Impression=$A78,ROW(Quantité_à_imprimer_12_2017)-MIN(ROW(Quantité_à_imprimer_12_2017))+1),COLUMNS($A$3:F78))),"")</f>
        <v/>
      </c>
      <c r="X78" s="38" t="str">
        <f t="array" ref="X78">IFERROR(INDEX(Quantité_à_imprimer_12_2017,SMALL(IF(Id_Impression=$A78,ROW(Quantité_à_imprimer_12_2017)-MIN(ROW(Quantité_à_imprimer_12_2017))+1),COLUMNS($A$3:G78))),"")</f>
        <v/>
      </c>
    </row>
    <row r="79" spans="1:24" x14ac:dyDescent="0.55000000000000004">
      <c r="A79" s="40">
        <v>78</v>
      </c>
      <c r="B79" s="36">
        <f t="shared" si="1"/>
        <v>0.15</v>
      </c>
      <c r="C79" s="37">
        <v>1</v>
      </c>
      <c r="D79" s="38" t="str">
        <f t="array" ref="D79">IFERROR(INDEX(Fichier_initial,SMALL(IF(Id_Impression=$A79,ROW(Fichier_initial)-MIN(ROW(Fichier_initial))+1),COLUMNS($A79:A79))),"")</f>
        <v>BackCoverLowLeftV1</v>
      </c>
      <c r="E79" s="38" t="str">
        <f t="array" ref="E79">IFERROR(INDEX(Fichier_initial,SMALL(IF(Id_Impression=$A79,ROW(Fichier_initial)-MIN(ROW(Fichier_initial))+1),COLUMNS($A79:B79))),"")</f>
        <v/>
      </c>
      <c r="F79" s="38" t="str">
        <f t="array" ref="F79">IFERROR(INDEX(Fichier_initial,SMALL(IF(Id_Impression=$A79,ROW(Fichier_initial)-MIN(ROW(Fichier_initial))+1),COLUMNS($A79:C79))),"")</f>
        <v/>
      </c>
      <c r="G79" s="38" t="str">
        <f t="array" ref="G79">IFERROR(INDEX(Fichier_initial,SMALL(IF(Id_Impression=$A79,ROW(Fichier_initial)-MIN(ROW(Fichier_initial))+1),COLUMNS($A79:D79))),"")</f>
        <v/>
      </c>
      <c r="H79" s="38" t="str">
        <f t="array" ref="H79">IFERROR(INDEX(Fichier_initial,SMALL(IF(Id_Impression=$A79,ROW(Fichier_initial)-MIN(ROW(Fichier_initial))+1),COLUMNS($A79:E79))),"")</f>
        <v/>
      </c>
      <c r="I79" s="38" t="str">
        <f t="array" ref="I79">IFERROR(INDEX(Fichier_initial,SMALL(IF(Id_Impression=$A79,ROW(Fichier_initial)-MIN(ROW(Fichier_initial))+1),COLUMNS($A79:F79))),"")</f>
        <v/>
      </c>
      <c r="J79" s="38" t="str">
        <f t="array" ref="J79">IFERROR(INDEX(Fichier_initial,SMALL(IF(Id_Impression=$A79,ROW(Fichier_initial)-MIN(ROW(Fichier_initial))+1),COLUMNS($A79:G79))),"")</f>
        <v/>
      </c>
      <c r="K79" s="39">
        <f t="array" ref="K79">IFERROR(INDEX(Temps_Total,SMALL(IF(Id_Impression=$A79,ROW(Temps_Total)-MIN(ROW(Temps_Total))+1),COLUMNS($A$3:A79))),"")</f>
        <v>0.15</v>
      </c>
      <c r="L79" s="39" t="str">
        <f t="array" ref="L79">IFERROR(INDEX(Temps_Total,SMALL(IF(Id_Impression=$A79,ROW(Temps_Total)-MIN(ROW(Temps_Total))+1),COLUMNS($A$3:B79))),"")</f>
        <v/>
      </c>
      <c r="M79" s="39" t="str">
        <f t="array" ref="M79">IFERROR(INDEX(Temps_Total,SMALL(IF(Id_Impression=$A79,ROW(Temps_Total)-MIN(ROW(Temps_Total))+1),COLUMNS($A$3:C79))),"")</f>
        <v/>
      </c>
      <c r="N79" s="39" t="str">
        <f t="array" ref="N79">IFERROR(INDEX(Temps_Total,SMALL(IF(Id_Impression=$A79,ROW(Temps_Total)-MIN(ROW(Temps_Total))+1),COLUMNS($A$3:D79))),"")</f>
        <v/>
      </c>
      <c r="O79" s="39" t="str">
        <f t="array" ref="O79">IFERROR(INDEX(Temps_Total,SMALL(IF(Id_Impression=$A79,ROW(Temps_Total)-MIN(ROW(Temps_Total))+1),COLUMNS($A$3:E79))),"")</f>
        <v/>
      </c>
      <c r="P79" s="39" t="str">
        <f t="array" ref="P79">IFERROR(INDEX(Temps_Total,SMALL(IF(Id_Impression=$A79,ROW(Temps_Total)-MIN(ROW(Temps_Total))+1),COLUMNS($A$3:F79))),"")</f>
        <v/>
      </c>
      <c r="Q79" s="39" t="str">
        <f t="array" ref="Q79">IFERROR(INDEX(Temps_Total,SMALL(IF(Id_Impression=$A79,ROW(Temps_Total)-MIN(ROW(Temps_Total))+1),COLUMNS($A$3:G79))),"")</f>
        <v/>
      </c>
      <c r="R79" s="38">
        <f t="array" ref="R79">IFERROR(INDEX(Quantité_à_imprimer_12_2017,SMALL(IF(Id_Impression=$A79,ROW(Quantité_à_imprimer_12_2017)-MIN(ROW(Quantité_à_imprimer_12_2017))+1),COLUMNS($A$3:A79))),"")</f>
        <v>1</v>
      </c>
      <c r="S79" s="38" t="str">
        <f t="array" ref="S79">IFERROR(INDEX(Quantité_à_imprimer_12_2017,SMALL(IF(Id_Impression=$A79,ROW(Quantité_à_imprimer_12_2017)-MIN(ROW(Quantité_à_imprimer_12_2017))+1),COLUMNS($A$3:B79))),"")</f>
        <v/>
      </c>
      <c r="T79" s="38" t="str">
        <f t="array" ref="T79">IFERROR(INDEX(Quantité_à_imprimer_12_2017,SMALL(IF(Id_Impression=$A79,ROW(Quantité_à_imprimer_12_2017)-MIN(ROW(Quantité_à_imprimer_12_2017))+1),COLUMNS($A$3:C79))),"")</f>
        <v/>
      </c>
      <c r="U79" s="38" t="str">
        <f t="array" ref="U79">IFERROR(INDEX(Quantité_à_imprimer_12_2017,SMALL(IF(Id_Impression=$A79,ROW(Quantité_à_imprimer_12_2017)-MIN(ROW(Quantité_à_imprimer_12_2017))+1),COLUMNS($A$3:D79))),"")</f>
        <v/>
      </c>
      <c r="V79" s="38" t="str">
        <f t="array" ref="V79">IFERROR(INDEX(Quantité_à_imprimer_12_2017,SMALL(IF(Id_Impression=$A79,ROW(Quantité_à_imprimer_12_2017)-MIN(ROW(Quantité_à_imprimer_12_2017))+1),COLUMNS($A$3:E79))),"")</f>
        <v/>
      </c>
      <c r="W79" s="38" t="str">
        <f t="array" ref="W79">IFERROR(INDEX(Quantité_à_imprimer_12_2017,SMALL(IF(Id_Impression=$A79,ROW(Quantité_à_imprimer_12_2017)-MIN(ROW(Quantité_à_imprimer_12_2017))+1),COLUMNS($A$3:F79))),"")</f>
        <v/>
      </c>
      <c r="X79" s="38" t="str">
        <f t="array" ref="X79">IFERROR(INDEX(Quantité_à_imprimer_12_2017,SMALL(IF(Id_Impression=$A79,ROW(Quantité_à_imprimer_12_2017)-MIN(ROW(Quantité_à_imprimer_12_2017))+1),COLUMNS($A$3:G79))),"")</f>
        <v/>
      </c>
    </row>
    <row r="80" spans="1:24" x14ac:dyDescent="0.55000000000000004">
      <c r="A80" s="40">
        <v>79</v>
      </c>
      <c r="B80" s="36">
        <f t="shared" si="1"/>
        <v>0.14513888888888887</v>
      </c>
      <c r="C80" s="37">
        <v>2</v>
      </c>
      <c r="D80" s="38" t="str">
        <f t="array" ref="D80">IFERROR(INDEX(Fichier_initial,SMALL(IF(Id_Impression=$A80,ROW(Fichier_initial)-MIN(ROW(Fichier_initial))+1),COLUMNS($A80:A80))),"")</f>
        <v>MainGearV1</v>
      </c>
      <c r="E80" s="38" t="str">
        <f t="array" ref="E80">IFERROR(INDEX(Fichier_initial,SMALL(IF(Id_Impression=$A80,ROW(Fichier_initial)-MIN(ROW(Fichier_initial))+1),COLUMNS($A80:B80))),"")</f>
        <v>ThroatPistonV3</v>
      </c>
      <c r="F80" s="38" t="str">
        <f t="array" ref="F80">IFERROR(INDEX(Fichier_initial,SMALL(IF(Id_Impression=$A80,ROW(Fichier_initial)-MIN(ROW(Fichier_initial))+1),COLUMNS($A80:C80))),"")</f>
        <v/>
      </c>
      <c r="G80" s="38" t="str">
        <f t="array" ref="G80">IFERROR(INDEX(Fichier_initial,SMALL(IF(Id_Impression=$A80,ROW(Fichier_initial)-MIN(ROW(Fichier_initial))+1),COLUMNS($A80:D80))),"")</f>
        <v/>
      </c>
      <c r="H80" s="38" t="str">
        <f t="array" ref="H80">IFERROR(INDEX(Fichier_initial,SMALL(IF(Id_Impression=$A80,ROW(Fichier_initial)-MIN(ROW(Fichier_initial))+1),COLUMNS($A80:E80))),"")</f>
        <v/>
      </c>
      <c r="I80" s="38" t="str">
        <f t="array" ref="I80">IFERROR(INDEX(Fichier_initial,SMALL(IF(Id_Impression=$A80,ROW(Fichier_initial)-MIN(ROW(Fichier_initial))+1),COLUMNS($A80:F80))),"")</f>
        <v/>
      </c>
      <c r="J80" s="38" t="str">
        <f t="array" ref="J80">IFERROR(INDEX(Fichier_initial,SMALL(IF(Id_Impression=$A80,ROW(Fichier_initial)-MIN(ROW(Fichier_initial))+1),COLUMNS($A80:G80))),"")</f>
        <v/>
      </c>
      <c r="K80" s="39">
        <f t="array" ref="K80">IFERROR(INDEX(Temps_Total,SMALL(IF(Id_Impression=$A80,ROW(Temps_Total)-MIN(ROW(Temps_Total))+1),COLUMNS($A$3:A80))),"")</f>
        <v>6.6666666666666666E-2</v>
      </c>
      <c r="L80" s="39">
        <f t="array" ref="L80">IFERROR(INDEX(Temps_Total,SMALL(IF(Id_Impression=$A80,ROW(Temps_Total)-MIN(ROW(Temps_Total))+1),COLUMNS($A$3:B80))),"")</f>
        <v>7.8472222222222221E-2</v>
      </c>
      <c r="M80" s="39" t="str">
        <f t="array" ref="M80">IFERROR(INDEX(Temps_Total,SMALL(IF(Id_Impression=$A80,ROW(Temps_Total)-MIN(ROW(Temps_Total))+1),COLUMNS($A$3:C80))),"")</f>
        <v/>
      </c>
      <c r="N80" s="39" t="str">
        <f t="array" ref="N80">IFERROR(INDEX(Temps_Total,SMALL(IF(Id_Impression=$A80,ROW(Temps_Total)-MIN(ROW(Temps_Total))+1),COLUMNS($A$3:D80))),"")</f>
        <v/>
      </c>
      <c r="O80" s="39" t="str">
        <f t="array" ref="O80">IFERROR(INDEX(Temps_Total,SMALL(IF(Id_Impression=$A80,ROW(Temps_Total)-MIN(ROW(Temps_Total))+1),COLUMNS($A$3:E80))),"")</f>
        <v/>
      </c>
      <c r="P80" s="39" t="str">
        <f t="array" ref="P80">IFERROR(INDEX(Temps_Total,SMALL(IF(Id_Impression=$A80,ROW(Temps_Total)-MIN(ROW(Temps_Total))+1),COLUMNS($A$3:F80))),"")</f>
        <v/>
      </c>
      <c r="Q80" s="39" t="str">
        <f t="array" ref="Q80">IFERROR(INDEX(Temps_Total,SMALL(IF(Id_Impression=$A80,ROW(Temps_Total)-MIN(ROW(Temps_Total))+1),COLUMNS($A$3:G80))),"")</f>
        <v/>
      </c>
      <c r="R80" s="38">
        <f t="array" ref="R80">IFERROR(INDEX(Quantité_à_imprimer_12_2017,SMALL(IF(Id_Impression=$A80,ROW(Quantité_à_imprimer_12_2017)-MIN(ROW(Quantité_à_imprimer_12_2017))+1),COLUMNS($A$3:A80))),"")</f>
        <v>1</v>
      </c>
      <c r="S80" s="38">
        <f t="array" ref="S80">IFERROR(INDEX(Quantité_à_imprimer_12_2017,SMALL(IF(Id_Impression=$A80,ROW(Quantité_à_imprimer_12_2017)-MIN(ROW(Quantité_à_imprimer_12_2017))+1),COLUMNS($A$3:B80))),"")</f>
        <v>1</v>
      </c>
      <c r="T80" s="38" t="str">
        <f t="array" ref="T80">IFERROR(INDEX(Quantité_à_imprimer_12_2017,SMALL(IF(Id_Impression=$A80,ROW(Quantité_à_imprimer_12_2017)-MIN(ROW(Quantité_à_imprimer_12_2017))+1),COLUMNS($A$3:C80))),"")</f>
        <v/>
      </c>
      <c r="U80" s="38" t="str">
        <f t="array" ref="U80">IFERROR(INDEX(Quantité_à_imprimer_12_2017,SMALL(IF(Id_Impression=$A80,ROW(Quantité_à_imprimer_12_2017)-MIN(ROW(Quantité_à_imprimer_12_2017))+1),COLUMNS($A$3:D80))),"")</f>
        <v/>
      </c>
      <c r="V80" s="38" t="str">
        <f t="array" ref="V80">IFERROR(INDEX(Quantité_à_imprimer_12_2017,SMALL(IF(Id_Impression=$A80,ROW(Quantité_à_imprimer_12_2017)-MIN(ROW(Quantité_à_imprimer_12_2017))+1),COLUMNS($A$3:E80))),"")</f>
        <v/>
      </c>
      <c r="W80" s="38" t="str">
        <f t="array" ref="W80">IFERROR(INDEX(Quantité_à_imprimer_12_2017,SMALL(IF(Id_Impression=$A80,ROW(Quantité_à_imprimer_12_2017)-MIN(ROW(Quantité_à_imprimer_12_2017))+1),COLUMNS($A$3:F80))),"")</f>
        <v/>
      </c>
      <c r="X80" s="38" t="str">
        <f t="array" ref="X80">IFERROR(INDEX(Quantité_à_imprimer_12_2017,SMALL(IF(Id_Impression=$A80,ROW(Quantité_à_imprimer_12_2017)-MIN(ROW(Quantité_à_imprimer_12_2017))+1),COLUMNS($A$3:G80))),"")</f>
        <v/>
      </c>
    </row>
    <row r="81" spans="1:24" x14ac:dyDescent="0.55000000000000004">
      <c r="A81" s="40">
        <v>80</v>
      </c>
      <c r="B81" s="36">
        <f t="shared" si="1"/>
        <v>0.20347222222222219</v>
      </c>
      <c r="C81" s="37">
        <v>1</v>
      </c>
      <c r="D81" s="38" t="str">
        <f t="array" ref="D81">IFERROR(INDEX(Fichier_initial,SMALL(IF(Id_Impression=$A81,ROW(Fichier_initial)-MIN(ROW(Fichier_initial))+1),COLUMNS($A81:A81))),"")</f>
        <v>NeckV1</v>
      </c>
      <c r="E81" s="38" t="str">
        <f t="array" ref="E81">IFERROR(INDEX(Fichier_initial,SMALL(IF(Id_Impression=$A81,ROW(Fichier_initial)-MIN(ROW(Fichier_initial))+1),COLUMNS($A81:B81))),"")</f>
        <v/>
      </c>
      <c r="F81" s="38" t="str">
        <f t="array" ref="F81">IFERROR(INDEX(Fichier_initial,SMALL(IF(Id_Impression=$A81,ROW(Fichier_initial)-MIN(ROW(Fichier_initial))+1),COLUMNS($A81:C81))),"")</f>
        <v/>
      </c>
      <c r="G81" s="38" t="str">
        <f t="array" ref="G81">IFERROR(INDEX(Fichier_initial,SMALL(IF(Id_Impression=$A81,ROW(Fichier_initial)-MIN(ROW(Fichier_initial))+1),COLUMNS($A81:D81))),"")</f>
        <v/>
      </c>
      <c r="H81" s="38" t="str">
        <f t="array" ref="H81">IFERROR(INDEX(Fichier_initial,SMALL(IF(Id_Impression=$A81,ROW(Fichier_initial)-MIN(ROW(Fichier_initial))+1),COLUMNS($A81:E81))),"")</f>
        <v/>
      </c>
      <c r="I81" s="38" t="str">
        <f t="array" ref="I81">IFERROR(INDEX(Fichier_initial,SMALL(IF(Id_Impression=$A81,ROW(Fichier_initial)-MIN(ROW(Fichier_initial))+1),COLUMNS($A81:F81))),"")</f>
        <v/>
      </c>
      <c r="J81" s="38" t="str">
        <f t="array" ref="J81">IFERROR(INDEX(Fichier_initial,SMALL(IF(Id_Impression=$A81,ROW(Fichier_initial)-MIN(ROW(Fichier_initial))+1),COLUMNS($A81:G81))),"")</f>
        <v/>
      </c>
      <c r="K81" s="39">
        <f t="array" ref="K81">IFERROR(INDEX(Temps_Total,SMALL(IF(Id_Impression=$A81,ROW(Temps_Total)-MIN(ROW(Temps_Total))+1),COLUMNS($A$3:A81))),"")</f>
        <v>0.20347222222222219</v>
      </c>
      <c r="L81" s="39" t="str">
        <f t="array" ref="L81">IFERROR(INDEX(Temps_Total,SMALL(IF(Id_Impression=$A81,ROW(Temps_Total)-MIN(ROW(Temps_Total))+1),COLUMNS($A$3:B81))),"")</f>
        <v/>
      </c>
      <c r="M81" s="39" t="str">
        <f t="array" ref="M81">IFERROR(INDEX(Temps_Total,SMALL(IF(Id_Impression=$A81,ROW(Temps_Total)-MIN(ROW(Temps_Total))+1),COLUMNS($A$3:C81))),"")</f>
        <v/>
      </c>
      <c r="N81" s="39" t="str">
        <f t="array" ref="N81">IFERROR(INDEX(Temps_Total,SMALL(IF(Id_Impression=$A81,ROW(Temps_Total)-MIN(ROW(Temps_Total))+1),COLUMNS($A$3:D81))),"")</f>
        <v/>
      </c>
      <c r="O81" s="39" t="str">
        <f t="array" ref="O81">IFERROR(INDEX(Temps_Total,SMALL(IF(Id_Impression=$A81,ROW(Temps_Total)-MIN(ROW(Temps_Total))+1),COLUMNS($A$3:E81))),"")</f>
        <v/>
      </c>
      <c r="P81" s="39" t="str">
        <f t="array" ref="P81">IFERROR(INDEX(Temps_Total,SMALL(IF(Id_Impression=$A81,ROW(Temps_Total)-MIN(ROW(Temps_Total))+1),COLUMNS($A$3:F81))),"")</f>
        <v/>
      </c>
      <c r="Q81" s="39" t="str">
        <f t="array" ref="Q81">IFERROR(INDEX(Temps_Total,SMALL(IF(Id_Impression=$A81,ROW(Temps_Total)-MIN(ROW(Temps_Total))+1),COLUMNS($A$3:G81))),"")</f>
        <v/>
      </c>
      <c r="R81" s="38">
        <f t="array" ref="R81">IFERROR(INDEX(Quantité_à_imprimer_12_2017,SMALL(IF(Id_Impression=$A81,ROW(Quantité_à_imprimer_12_2017)-MIN(ROW(Quantité_à_imprimer_12_2017))+1),COLUMNS($A$3:A81))),"")</f>
        <v>1</v>
      </c>
      <c r="S81" s="38" t="str">
        <f t="array" ref="S81">IFERROR(INDEX(Quantité_à_imprimer_12_2017,SMALL(IF(Id_Impression=$A81,ROW(Quantité_à_imprimer_12_2017)-MIN(ROW(Quantité_à_imprimer_12_2017))+1),COLUMNS($A$3:B81))),"")</f>
        <v/>
      </c>
      <c r="T81" s="38" t="str">
        <f t="array" ref="T81">IFERROR(INDEX(Quantité_à_imprimer_12_2017,SMALL(IF(Id_Impression=$A81,ROW(Quantité_à_imprimer_12_2017)-MIN(ROW(Quantité_à_imprimer_12_2017))+1),COLUMNS($A$3:C81))),"")</f>
        <v/>
      </c>
      <c r="U81" s="38" t="str">
        <f t="array" ref="U81">IFERROR(INDEX(Quantité_à_imprimer_12_2017,SMALL(IF(Id_Impression=$A81,ROW(Quantité_à_imprimer_12_2017)-MIN(ROW(Quantité_à_imprimer_12_2017))+1),COLUMNS($A$3:D81))),"")</f>
        <v/>
      </c>
      <c r="V81" s="38" t="str">
        <f t="array" ref="V81">IFERROR(INDEX(Quantité_à_imprimer_12_2017,SMALL(IF(Id_Impression=$A81,ROW(Quantité_à_imprimer_12_2017)-MIN(ROW(Quantité_à_imprimer_12_2017))+1),COLUMNS($A$3:E81))),"")</f>
        <v/>
      </c>
      <c r="W81" s="38" t="str">
        <f t="array" ref="W81">IFERROR(INDEX(Quantité_à_imprimer_12_2017,SMALL(IF(Id_Impression=$A81,ROW(Quantité_à_imprimer_12_2017)-MIN(ROW(Quantité_à_imprimer_12_2017))+1),COLUMNS($A$3:F81))),"")</f>
        <v/>
      </c>
      <c r="X81" s="38" t="str">
        <f t="array" ref="X81">IFERROR(INDEX(Quantité_à_imprimer_12_2017,SMALL(IF(Id_Impression=$A81,ROW(Quantité_à_imprimer_12_2017)-MIN(ROW(Quantité_à_imprimer_12_2017))+1),COLUMNS($A$3:G81))),"")</f>
        <v/>
      </c>
    </row>
    <row r="82" spans="1:24" x14ac:dyDescent="0.55000000000000004">
      <c r="A82" s="40">
        <v>81</v>
      </c>
      <c r="B82" s="36">
        <f t="shared" si="1"/>
        <v>0.1701388888888889</v>
      </c>
      <c r="C82" s="37">
        <v>2</v>
      </c>
      <c r="D82" s="38" t="str">
        <f t="array" ref="D82">IFERROR(INDEX(Fichier_initial,SMALL(IF(Id_Impression=$A82,ROW(Fichier_initial)-MIN(ROW(Fichier_initial))+1),COLUMNS($A82:A82))),"")</f>
        <v>GearHolderV1</v>
      </c>
      <c r="E82" s="38" t="str">
        <f t="array" ref="E82">IFERROR(INDEX(Fichier_initial,SMALL(IF(Id_Impression=$A82,ROW(Fichier_initial)-MIN(ROW(Fichier_initial))+1),COLUMNS($A82:B82))),"")</f>
        <v>ThroatHoleV2</v>
      </c>
      <c r="F82" s="38" t="str">
        <f t="array" ref="F82">IFERROR(INDEX(Fichier_initial,SMALL(IF(Id_Impression=$A82,ROW(Fichier_initial)-MIN(ROW(Fichier_initial))+1),COLUMNS($A82:C82))),"")</f>
        <v/>
      </c>
      <c r="G82" s="38" t="str">
        <f t="array" ref="G82">IFERROR(INDEX(Fichier_initial,SMALL(IF(Id_Impression=$A82,ROW(Fichier_initial)-MIN(ROW(Fichier_initial))+1),COLUMNS($A82:D82))),"")</f>
        <v/>
      </c>
      <c r="H82" s="38" t="str">
        <f t="array" ref="H82">IFERROR(INDEX(Fichier_initial,SMALL(IF(Id_Impression=$A82,ROW(Fichier_initial)-MIN(ROW(Fichier_initial))+1),COLUMNS($A82:E82))),"")</f>
        <v/>
      </c>
      <c r="I82" s="38" t="str">
        <f t="array" ref="I82">IFERROR(INDEX(Fichier_initial,SMALL(IF(Id_Impression=$A82,ROW(Fichier_initial)-MIN(ROW(Fichier_initial))+1),COLUMNS($A82:F82))),"")</f>
        <v/>
      </c>
      <c r="J82" s="38" t="str">
        <f t="array" ref="J82">IFERROR(INDEX(Fichier_initial,SMALL(IF(Id_Impression=$A82,ROW(Fichier_initial)-MIN(ROW(Fichier_initial))+1),COLUMNS($A82:G82))),"")</f>
        <v/>
      </c>
      <c r="K82" s="39">
        <f t="array" ref="K82">IFERROR(INDEX(Temps_Total,SMALL(IF(Id_Impression=$A82,ROW(Temps_Total)-MIN(ROW(Temps_Total))+1),COLUMNS($A$3:A82))),"")</f>
        <v>0.10694444444444444</v>
      </c>
      <c r="L82" s="39">
        <f t="array" ref="L82">IFERROR(INDEX(Temps_Total,SMALL(IF(Id_Impression=$A82,ROW(Temps_Total)-MIN(ROW(Temps_Total))+1),COLUMNS($A$3:B82))),"")</f>
        <v>6.3194444444444442E-2</v>
      </c>
      <c r="M82" s="39" t="str">
        <f t="array" ref="M82">IFERROR(INDEX(Temps_Total,SMALL(IF(Id_Impression=$A82,ROW(Temps_Total)-MIN(ROW(Temps_Total))+1),COLUMNS($A$3:C82))),"")</f>
        <v/>
      </c>
      <c r="N82" s="39" t="str">
        <f t="array" ref="N82">IFERROR(INDEX(Temps_Total,SMALL(IF(Id_Impression=$A82,ROW(Temps_Total)-MIN(ROW(Temps_Total))+1),COLUMNS($A$3:D82))),"")</f>
        <v/>
      </c>
      <c r="O82" s="39" t="str">
        <f t="array" ref="O82">IFERROR(INDEX(Temps_Total,SMALL(IF(Id_Impression=$A82,ROW(Temps_Total)-MIN(ROW(Temps_Total))+1),COLUMNS($A$3:E82))),"")</f>
        <v/>
      </c>
      <c r="P82" s="39" t="str">
        <f t="array" ref="P82">IFERROR(INDEX(Temps_Total,SMALL(IF(Id_Impression=$A82,ROW(Temps_Total)-MIN(ROW(Temps_Total))+1),COLUMNS($A$3:F82))),"")</f>
        <v/>
      </c>
      <c r="Q82" s="39" t="str">
        <f t="array" ref="Q82">IFERROR(INDEX(Temps_Total,SMALL(IF(Id_Impression=$A82,ROW(Temps_Total)-MIN(ROW(Temps_Total))+1),COLUMNS($A$3:G82))),"")</f>
        <v/>
      </c>
      <c r="R82" s="38">
        <f t="array" ref="R82">IFERROR(INDEX(Quantité_à_imprimer_12_2017,SMALL(IF(Id_Impression=$A82,ROW(Quantité_à_imprimer_12_2017)-MIN(ROW(Quantité_à_imprimer_12_2017))+1),COLUMNS($A$3:A82))),"")</f>
        <v>1</v>
      </c>
      <c r="S82" s="38">
        <f t="array" ref="S82">IFERROR(INDEX(Quantité_à_imprimer_12_2017,SMALL(IF(Id_Impression=$A82,ROW(Quantité_à_imprimer_12_2017)-MIN(ROW(Quantité_à_imprimer_12_2017))+1),COLUMNS($A$3:B82))),"")</f>
        <v>1</v>
      </c>
      <c r="T82" s="38" t="str">
        <f t="array" ref="T82">IFERROR(INDEX(Quantité_à_imprimer_12_2017,SMALL(IF(Id_Impression=$A82,ROW(Quantité_à_imprimer_12_2017)-MIN(ROW(Quantité_à_imprimer_12_2017))+1),COLUMNS($A$3:C82))),"")</f>
        <v/>
      </c>
      <c r="U82" s="38" t="str">
        <f t="array" ref="U82">IFERROR(INDEX(Quantité_à_imprimer_12_2017,SMALL(IF(Id_Impression=$A82,ROW(Quantité_à_imprimer_12_2017)-MIN(ROW(Quantité_à_imprimer_12_2017))+1),COLUMNS($A$3:D82))),"")</f>
        <v/>
      </c>
      <c r="V82" s="38" t="str">
        <f t="array" ref="V82">IFERROR(INDEX(Quantité_à_imprimer_12_2017,SMALL(IF(Id_Impression=$A82,ROW(Quantité_à_imprimer_12_2017)-MIN(ROW(Quantité_à_imprimer_12_2017))+1),COLUMNS($A$3:E82))),"")</f>
        <v/>
      </c>
      <c r="W82" s="38" t="str">
        <f t="array" ref="W82">IFERROR(INDEX(Quantité_à_imprimer_12_2017,SMALL(IF(Id_Impression=$A82,ROW(Quantité_à_imprimer_12_2017)-MIN(ROW(Quantité_à_imprimer_12_2017))+1),COLUMNS($A$3:F82))),"")</f>
        <v/>
      </c>
      <c r="X82" s="38" t="str">
        <f t="array" ref="X82">IFERROR(INDEX(Quantité_à_imprimer_12_2017,SMALL(IF(Id_Impression=$A82,ROW(Quantité_à_imprimer_12_2017)-MIN(ROW(Quantité_à_imprimer_12_2017))+1),COLUMNS($A$3:G82))),"")</f>
        <v/>
      </c>
    </row>
    <row r="83" spans="1:24" x14ac:dyDescent="0.55000000000000004">
      <c r="A83" s="40">
        <v>82</v>
      </c>
      <c r="B83" s="36">
        <f t="shared" si="1"/>
        <v>0.17847222222222223</v>
      </c>
      <c r="C83" s="37">
        <v>2</v>
      </c>
      <c r="D83" s="38" t="str">
        <f t="array" ref="D83">IFERROR(INDEX(Fichier_initial,SMALL(IF(Id_Impression=$A83,ROW(Fichier_initial)-MIN(ROW(Fichier_initial))+1),COLUMNS($A83:A83))),"")</f>
        <v>NeckBoltsV2</v>
      </c>
      <c r="E83" s="38" t="str">
        <f t="array" ref="E83">IFERROR(INDEX(Fichier_initial,SMALL(IF(Id_Impression=$A83,ROW(Fichier_initial)-MIN(ROW(Fichier_initial))+1),COLUMNS($A83:B83))),"")</f>
        <v>NeckHingeV1</v>
      </c>
      <c r="F83" s="38" t="str">
        <f t="array" ref="F83">IFERROR(INDEX(Fichier_initial,SMALL(IF(Id_Impression=$A83,ROW(Fichier_initial)-MIN(ROW(Fichier_initial))+1),COLUMNS($A83:C83))),"")</f>
        <v/>
      </c>
      <c r="G83" s="38" t="str">
        <f t="array" ref="G83">IFERROR(INDEX(Fichier_initial,SMALL(IF(Id_Impression=$A83,ROW(Fichier_initial)-MIN(ROW(Fichier_initial))+1),COLUMNS($A83:D83))),"")</f>
        <v/>
      </c>
      <c r="H83" s="38" t="str">
        <f t="array" ref="H83">IFERROR(INDEX(Fichier_initial,SMALL(IF(Id_Impression=$A83,ROW(Fichier_initial)-MIN(ROW(Fichier_initial))+1),COLUMNS($A83:E83))),"")</f>
        <v/>
      </c>
      <c r="I83" s="38" t="str">
        <f t="array" ref="I83">IFERROR(INDEX(Fichier_initial,SMALL(IF(Id_Impression=$A83,ROW(Fichier_initial)-MIN(ROW(Fichier_initial))+1),COLUMNS($A83:F83))),"")</f>
        <v/>
      </c>
      <c r="J83" s="38" t="str">
        <f t="array" ref="J83">IFERROR(INDEX(Fichier_initial,SMALL(IF(Id_Impression=$A83,ROW(Fichier_initial)-MIN(ROW(Fichier_initial))+1),COLUMNS($A83:G83))),"")</f>
        <v/>
      </c>
      <c r="K83" s="39">
        <f t="array" ref="K83">IFERROR(INDEX(Temps_Total,SMALL(IF(Id_Impression=$A83,ROW(Temps_Total)-MIN(ROW(Temps_Total))+1),COLUMNS($A$3:A83))),"")</f>
        <v>4.7222222222222221E-2</v>
      </c>
      <c r="L83" s="39">
        <f t="array" ref="L83">IFERROR(INDEX(Temps_Total,SMALL(IF(Id_Impression=$A83,ROW(Temps_Total)-MIN(ROW(Temps_Total))+1),COLUMNS($A$3:B83))),"")</f>
        <v>0.13125000000000001</v>
      </c>
      <c r="M83" s="39" t="str">
        <f t="array" ref="M83">IFERROR(INDEX(Temps_Total,SMALL(IF(Id_Impression=$A83,ROW(Temps_Total)-MIN(ROW(Temps_Total))+1),COLUMNS($A$3:C83))),"")</f>
        <v/>
      </c>
      <c r="N83" s="39" t="str">
        <f t="array" ref="N83">IFERROR(INDEX(Temps_Total,SMALL(IF(Id_Impression=$A83,ROW(Temps_Total)-MIN(ROW(Temps_Total))+1),COLUMNS($A$3:D83))),"")</f>
        <v/>
      </c>
      <c r="O83" s="39" t="str">
        <f t="array" ref="O83">IFERROR(INDEX(Temps_Total,SMALL(IF(Id_Impression=$A83,ROW(Temps_Total)-MIN(ROW(Temps_Total))+1),COLUMNS($A$3:E83))),"")</f>
        <v/>
      </c>
      <c r="P83" s="39" t="str">
        <f t="array" ref="P83">IFERROR(INDEX(Temps_Total,SMALL(IF(Id_Impression=$A83,ROW(Temps_Total)-MIN(ROW(Temps_Total))+1),COLUMNS($A$3:F83))),"")</f>
        <v/>
      </c>
      <c r="Q83" s="39" t="str">
        <f t="array" ref="Q83">IFERROR(INDEX(Temps_Total,SMALL(IF(Id_Impression=$A83,ROW(Temps_Total)-MIN(ROW(Temps_Total))+1),COLUMNS($A$3:G83))),"")</f>
        <v/>
      </c>
      <c r="R83" s="38">
        <f t="array" ref="R83">IFERROR(INDEX(Quantité_à_imprimer_12_2017,SMALL(IF(Id_Impression=$A83,ROW(Quantité_à_imprimer_12_2017)-MIN(ROW(Quantité_à_imprimer_12_2017))+1),COLUMNS($A$3:A83))),"")</f>
        <v>1</v>
      </c>
      <c r="S83" s="38">
        <f t="array" ref="S83">IFERROR(INDEX(Quantité_à_imprimer_12_2017,SMALL(IF(Id_Impression=$A83,ROW(Quantité_à_imprimer_12_2017)-MIN(ROW(Quantité_à_imprimer_12_2017))+1),COLUMNS($A$3:B83))),"")</f>
        <v>1</v>
      </c>
      <c r="T83" s="38" t="str">
        <f t="array" ref="T83">IFERROR(INDEX(Quantité_à_imprimer_12_2017,SMALL(IF(Id_Impression=$A83,ROW(Quantité_à_imprimer_12_2017)-MIN(ROW(Quantité_à_imprimer_12_2017))+1),COLUMNS($A$3:C83))),"")</f>
        <v/>
      </c>
      <c r="U83" s="38" t="str">
        <f t="array" ref="U83">IFERROR(INDEX(Quantité_à_imprimer_12_2017,SMALL(IF(Id_Impression=$A83,ROW(Quantité_à_imprimer_12_2017)-MIN(ROW(Quantité_à_imprimer_12_2017))+1),COLUMNS($A$3:D83))),"")</f>
        <v/>
      </c>
      <c r="V83" s="38" t="str">
        <f t="array" ref="V83">IFERROR(INDEX(Quantité_à_imprimer_12_2017,SMALL(IF(Id_Impression=$A83,ROW(Quantité_à_imprimer_12_2017)-MIN(ROW(Quantité_à_imprimer_12_2017))+1),COLUMNS($A$3:E83))),"")</f>
        <v/>
      </c>
      <c r="W83" s="38" t="str">
        <f t="array" ref="W83">IFERROR(INDEX(Quantité_à_imprimer_12_2017,SMALL(IF(Id_Impression=$A83,ROW(Quantité_à_imprimer_12_2017)-MIN(ROW(Quantité_à_imprimer_12_2017))+1),COLUMNS($A$3:F83))),"")</f>
        <v/>
      </c>
      <c r="X83" s="38" t="str">
        <f t="array" ref="X83">IFERROR(INDEX(Quantité_à_imprimer_12_2017,SMALL(IF(Id_Impression=$A83,ROW(Quantité_à_imprimer_12_2017)-MIN(ROW(Quantité_à_imprimer_12_2017))+1),COLUMNS($A$3:G83))),"")</f>
        <v/>
      </c>
    </row>
    <row r="84" spans="1:24" x14ac:dyDescent="0.55000000000000004">
      <c r="A84" s="40">
        <v>83</v>
      </c>
      <c r="B84" s="36">
        <f t="shared" si="1"/>
        <v>0.13958333333333334</v>
      </c>
      <c r="C84" s="37">
        <v>2</v>
      </c>
      <c r="D84" s="38" t="str">
        <f t="array" ref="D84">IFERROR(INDEX(Fichier_initial,SMALL(IF(Id_Impression=$A84,ROW(Fichier_initial)-MIN(ROW(Fichier_initial))+1),COLUMNS($A84:A84))),"")</f>
        <v>ThroatHolderV1</v>
      </c>
      <c r="E84" s="38" t="str">
        <f t="array" ref="E84">IFERROR(INDEX(Fichier_initial,SMALL(IF(Id_Impression=$A84,ROW(Fichier_initial)-MIN(ROW(Fichier_initial))+1),COLUMNS($A84:B84))),"")</f>
        <v>ServoGearV1</v>
      </c>
      <c r="F84" s="38" t="str">
        <f t="array" ref="F84">IFERROR(INDEX(Fichier_initial,SMALL(IF(Id_Impression=$A84,ROW(Fichier_initial)-MIN(ROW(Fichier_initial))+1),COLUMNS($A84:C84))),"")</f>
        <v/>
      </c>
      <c r="G84" s="38" t="str">
        <f t="array" ref="G84">IFERROR(INDEX(Fichier_initial,SMALL(IF(Id_Impression=$A84,ROW(Fichier_initial)-MIN(ROW(Fichier_initial))+1),COLUMNS($A84:D84))),"")</f>
        <v/>
      </c>
      <c r="H84" s="38" t="str">
        <f t="array" ref="H84">IFERROR(INDEX(Fichier_initial,SMALL(IF(Id_Impression=$A84,ROW(Fichier_initial)-MIN(ROW(Fichier_initial))+1),COLUMNS($A84:E84))),"")</f>
        <v/>
      </c>
      <c r="I84" s="38" t="str">
        <f t="array" ref="I84">IFERROR(INDEX(Fichier_initial,SMALL(IF(Id_Impression=$A84,ROW(Fichier_initial)-MIN(ROW(Fichier_initial))+1),COLUMNS($A84:F84))),"")</f>
        <v/>
      </c>
      <c r="J84" s="38" t="str">
        <f t="array" ref="J84">IFERROR(INDEX(Fichier_initial,SMALL(IF(Id_Impression=$A84,ROW(Fichier_initial)-MIN(ROW(Fichier_initial))+1),COLUMNS($A84:G84))),"")</f>
        <v/>
      </c>
      <c r="K84" s="39">
        <f t="array" ref="K84">IFERROR(INDEX(Temps_Total,SMALL(IF(Id_Impression=$A84,ROW(Temps_Total)-MIN(ROW(Temps_Total))+1),COLUMNS($A$3:A84))),"")</f>
        <v>5.8333333333333327E-2</v>
      </c>
      <c r="L84" s="39">
        <f t="array" ref="L84">IFERROR(INDEX(Temps_Total,SMALL(IF(Id_Impression=$A84,ROW(Temps_Total)-MIN(ROW(Temps_Total))+1),COLUMNS($A$3:B84))),"")</f>
        <v>8.1250000000000003E-2</v>
      </c>
      <c r="M84" s="39" t="str">
        <f t="array" ref="M84">IFERROR(INDEX(Temps_Total,SMALL(IF(Id_Impression=$A84,ROW(Temps_Total)-MIN(ROW(Temps_Total))+1),COLUMNS($A$3:C84))),"")</f>
        <v/>
      </c>
      <c r="N84" s="39" t="str">
        <f t="array" ref="N84">IFERROR(INDEX(Temps_Total,SMALL(IF(Id_Impression=$A84,ROW(Temps_Total)-MIN(ROW(Temps_Total))+1),COLUMNS($A$3:D84))),"")</f>
        <v/>
      </c>
      <c r="O84" s="39" t="str">
        <f t="array" ref="O84">IFERROR(INDEX(Temps_Total,SMALL(IF(Id_Impression=$A84,ROW(Temps_Total)-MIN(ROW(Temps_Total))+1),COLUMNS($A$3:E84))),"")</f>
        <v/>
      </c>
      <c r="P84" s="39" t="str">
        <f t="array" ref="P84">IFERROR(INDEX(Temps_Total,SMALL(IF(Id_Impression=$A84,ROW(Temps_Total)-MIN(ROW(Temps_Total))+1),COLUMNS($A$3:F84))),"")</f>
        <v/>
      </c>
      <c r="Q84" s="39" t="str">
        <f t="array" ref="Q84">IFERROR(INDEX(Temps_Total,SMALL(IF(Id_Impression=$A84,ROW(Temps_Total)-MIN(ROW(Temps_Total))+1),COLUMNS($A$3:G84))),"")</f>
        <v/>
      </c>
      <c r="R84" s="38">
        <f t="array" ref="R84">IFERROR(INDEX(Quantité_à_imprimer_12_2017,SMALL(IF(Id_Impression=$A84,ROW(Quantité_à_imprimer_12_2017)-MIN(ROW(Quantité_à_imprimer_12_2017))+1),COLUMNS($A$3:A84))),"")</f>
        <v>1</v>
      </c>
      <c r="S84" s="38">
        <f t="array" ref="S84">IFERROR(INDEX(Quantité_à_imprimer_12_2017,SMALL(IF(Id_Impression=$A84,ROW(Quantité_à_imprimer_12_2017)-MIN(ROW(Quantité_à_imprimer_12_2017))+1),COLUMNS($A$3:B84))),"")</f>
        <v>1</v>
      </c>
      <c r="T84" s="38" t="str">
        <f t="array" ref="T84">IFERROR(INDEX(Quantité_à_imprimer_12_2017,SMALL(IF(Id_Impression=$A84,ROW(Quantité_à_imprimer_12_2017)-MIN(ROW(Quantité_à_imprimer_12_2017))+1),COLUMNS($A$3:C84))),"")</f>
        <v/>
      </c>
      <c r="U84" s="38" t="str">
        <f t="array" ref="U84">IFERROR(INDEX(Quantité_à_imprimer_12_2017,SMALL(IF(Id_Impression=$A84,ROW(Quantité_à_imprimer_12_2017)-MIN(ROW(Quantité_à_imprimer_12_2017))+1),COLUMNS($A$3:D84))),"")</f>
        <v/>
      </c>
      <c r="V84" s="38" t="str">
        <f t="array" ref="V84">IFERROR(INDEX(Quantité_à_imprimer_12_2017,SMALL(IF(Id_Impression=$A84,ROW(Quantité_à_imprimer_12_2017)-MIN(ROW(Quantité_à_imprimer_12_2017))+1),COLUMNS($A$3:E84))),"")</f>
        <v/>
      </c>
      <c r="W84" s="38" t="str">
        <f t="array" ref="W84">IFERROR(INDEX(Quantité_à_imprimer_12_2017,SMALL(IF(Id_Impression=$A84,ROW(Quantité_à_imprimer_12_2017)-MIN(ROW(Quantité_à_imprimer_12_2017))+1),COLUMNS($A$3:F84))),"")</f>
        <v/>
      </c>
      <c r="X84" s="38" t="str">
        <f t="array" ref="X84">IFERROR(INDEX(Quantité_à_imprimer_12_2017,SMALL(IF(Id_Impression=$A84,ROW(Quantité_à_imprimer_12_2017)-MIN(ROW(Quantité_à_imprimer_12_2017))+1),COLUMNS($A$3:G84))),"")</f>
        <v/>
      </c>
    </row>
    <row r="85" spans="1:24" x14ac:dyDescent="0.55000000000000004">
      <c r="A85" s="40">
        <v>84</v>
      </c>
      <c r="B85" s="36">
        <f t="shared" si="1"/>
        <v>0.15833333333333333</v>
      </c>
      <c r="C85" s="37">
        <v>2</v>
      </c>
      <c r="D85" s="38" t="str">
        <f t="array" ref="D85">IFERROR(INDEX(Fichier_initial,SMALL(IF(Id_Impression=$A85,ROW(Fichier_initial)-MIN(ROW(Fichier_initial))+1),COLUMNS($A85:A85))),"")</f>
        <v>SkullServoFixV1</v>
      </c>
      <c r="E85" s="38" t="str">
        <f t="array" ref="E85">IFERROR(INDEX(Fichier_initial,SMALL(IF(Id_Impression=$A85,ROW(Fichier_initial)-MIN(ROW(Fichier_initial))+1),COLUMNS($A85:B85))),"")</f>
        <v>JawPistonV1</v>
      </c>
      <c r="F85" s="38" t="str">
        <f t="array" ref="F85">IFERROR(INDEX(Fichier_initial,SMALL(IF(Id_Impression=$A85,ROW(Fichier_initial)-MIN(ROW(Fichier_initial))+1),COLUMNS($A85:C85))),"")</f>
        <v/>
      </c>
      <c r="G85" s="38" t="str">
        <f t="array" ref="G85">IFERROR(INDEX(Fichier_initial,SMALL(IF(Id_Impression=$A85,ROW(Fichier_initial)-MIN(ROW(Fichier_initial))+1),COLUMNS($A85:D85))),"")</f>
        <v/>
      </c>
      <c r="H85" s="38" t="str">
        <f t="array" ref="H85">IFERROR(INDEX(Fichier_initial,SMALL(IF(Id_Impression=$A85,ROW(Fichier_initial)-MIN(ROW(Fichier_initial))+1),COLUMNS($A85:E85))),"")</f>
        <v/>
      </c>
      <c r="I85" s="38" t="str">
        <f t="array" ref="I85">IFERROR(INDEX(Fichier_initial,SMALL(IF(Id_Impression=$A85,ROW(Fichier_initial)-MIN(ROW(Fichier_initial))+1),COLUMNS($A85:F85))),"")</f>
        <v/>
      </c>
      <c r="J85" s="38" t="str">
        <f t="array" ref="J85">IFERROR(INDEX(Fichier_initial,SMALL(IF(Id_Impression=$A85,ROW(Fichier_initial)-MIN(ROW(Fichier_initial))+1),COLUMNS($A85:G85))),"")</f>
        <v/>
      </c>
      <c r="K85" s="39">
        <f t="array" ref="K85">IFERROR(INDEX(Temps_Total,SMALL(IF(Id_Impression=$A85,ROW(Temps_Total)-MIN(ROW(Temps_Total))+1),COLUMNS($A$3:A85))),"")</f>
        <v>0.13333333333333333</v>
      </c>
      <c r="L85" s="39">
        <f t="array" ref="L85">IFERROR(INDEX(Temps_Total,SMALL(IF(Id_Impression=$A85,ROW(Temps_Total)-MIN(ROW(Temps_Total))+1),COLUMNS($A$3:B85))),"")</f>
        <v>2.4999999999999998E-2</v>
      </c>
      <c r="M85" s="39" t="str">
        <f t="array" ref="M85">IFERROR(INDEX(Temps_Total,SMALL(IF(Id_Impression=$A85,ROW(Temps_Total)-MIN(ROW(Temps_Total))+1),COLUMNS($A$3:C85))),"")</f>
        <v/>
      </c>
      <c r="N85" s="39" t="str">
        <f t="array" ref="N85">IFERROR(INDEX(Temps_Total,SMALL(IF(Id_Impression=$A85,ROW(Temps_Total)-MIN(ROW(Temps_Total))+1),COLUMNS($A$3:D85))),"")</f>
        <v/>
      </c>
      <c r="O85" s="39" t="str">
        <f t="array" ref="O85">IFERROR(INDEX(Temps_Total,SMALL(IF(Id_Impression=$A85,ROW(Temps_Total)-MIN(ROW(Temps_Total))+1),COLUMNS($A$3:E85))),"")</f>
        <v/>
      </c>
      <c r="P85" s="39" t="str">
        <f t="array" ref="P85">IFERROR(INDEX(Temps_Total,SMALL(IF(Id_Impression=$A85,ROW(Temps_Total)-MIN(ROW(Temps_Total))+1),COLUMNS($A$3:F85))),"")</f>
        <v/>
      </c>
      <c r="Q85" s="39" t="str">
        <f t="array" ref="Q85">IFERROR(INDEX(Temps_Total,SMALL(IF(Id_Impression=$A85,ROW(Temps_Total)-MIN(ROW(Temps_Total))+1),COLUMNS($A$3:G85))),"")</f>
        <v/>
      </c>
      <c r="R85" s="38">
        <f t="array" ref="R85">IFERROR(INDEX(Quantité_à_imprimer_12_2017,SMALL(IF(Id_Impression=$A85,ROW(Quantité_à_imprimer_12_2017)-MIN(ROW(Quantité_à_imprimer_12_2017))+1),COLUMNS($A$3:A85))),"")</f>
        <v>1</v>
      </c>
      <c r="S85" s="38">
        <f t="array" ref="S85">IFERROR(INDEX(Quantité_à_imprimer_12_2017,SMALL(IF(Id_Impression=$A85,ROW(Quantité_à_imprimer_12_2017)-MIN(ROW(Quantité_à_imprimer_12_2017))+1),COLUMNS($A$3:B85))),"")</f>
        <v>1</v>
      </c>
      <c r="T85" s="38" t="str">
        <f t="array" ref="T85">IFERROR(INDEX(Quantité_à_imprimer_12_2017,SMALL(IF(Id_Impression=$A85,ROW(Quantité_à_imprimer_12_2017)-MIN(ROW(Quantité_à_imprimer_12_2017))+1),COLUMNS($A$3:C85))),"")</f>
        <v/>
      </c>
      <c r="U85" s="38" t="str">
        <f t="array" ref="U85">IFERROR(INDEX(Quantité_à_imprimer_12_2017,SMALL(IF(Id_Impression=$A85,ROW(Quantité_à_imprimer_12_2017)-MIN(ROW(Quantité_à_imprimer_12_2017))+1),COLUMNS($A$3:D85))),"")</f>
        <v/>
      </c>
      <c r="V85" s="38" t="str">
        <f t="array" ref="V85">IFERROR(INDEX(Quantité_à_imprimer_12_2017,SMALL(IF(Id_Impression=$A85,ROW(Quantité_à_imprimer_12_2017)-MIN(ROW(Quantité_à_imprimer_12_2017))+1),COLUMNS($A$3:E85))),"")</f>
        <v/>
      </c>
      <c r="W85" s="38" t="str">
        <f t="array" ref="W85">IFERROR(INDEX(Quantité_à_imprimer_12_2017,SMALL(IF(Id_Impression=$A85,ROW(Quantité_à_imprimer_12_2017)-MIN(ROW(Quantité_à_imprimer_12_2017))+1),COLUMNS($A$3:F85))),"")</f>
        <v/>
      </c>
      <c r="X85" s="38" t="str">
        <f t="array" ref="X85">IFERROR(INDEX(Quantité_à_imprimer_12_2017,SMALL(IF(Id_Impression=$A85,ROW(Quantité_à_imprimer_12_2017)-MIN(ROW(Quantité_à_imprimer_12_2017))+1),COLUMNS($A$3:G85))),"")</f>
        <v/>
      </c>
    </row>
    <row r="86" spans="1:24" x14ac:dyDescent="0.55000000000000004">
      <c r="A86" s="40">
        <v>85</v>
      </c>
      <c r="B86" s="36">
        <f t="shared" si="1"/>
        <v>0.16388888888888889</v>
      </c>
      <c r="C86" s="37">
        <v>2</v>
      </c>
      <c r="D86" s="38" t="str">
        <f t="array" ref="D86">IFERROR(INDEX(Fichier_initial,SMALL(IF(Id_Impression=$A86,ROW(Fichier_initial)-MIN(ROW(Fichier_initial))+1),COLUMNS($A86:A86))),"")</f>
        <v>ThroatPistonBaseV3</v>
      </c>
      <c r="E86" s="38" t="str">
        <f t="array" ref="E86">IFERROR(INDEX(Fichier_initial,SMALL(IF(Id_Impression=$A86,ROW(Fichier_initial)-MIN(ROW(Fichier_initial))+1),COLUMNS($A86:B86))),"")</f>
        <v>JawHingeV2</v>
      </c>
      <c r="F86" s="38" t="str">
        <f t="array" ref="F86">IFERROR(INDEX(Fichier_initial,SMALL(IF(Id_Impression=$A86,ROW(Fichier_initial)-MIN(ROW(Fichier_initial))+1),COLUMNS($A86:C86))),"")</f>
        <v/>
      </c>
      <c r="G86" s="38" t="str">
        <f t="array" ref="G86">IFERROR(INDEX(Fichier_initial,SMALL(IF(Id_Impression=$A86,ROW(Fichier_initial)-MIN(ROW(Fichier_initial))+1),COLUMNS($A86:D86))),"")</f>
        <v/>
      </c>
      <c r="H86" s="38" t="str">
        <f t="array" ref="H86">IFERROR(INDEX(Fichier_initial,SMALL(IF(Id_Impression=$A86,ROW(Fichier_initial)-MIN(ROW(Fichier_initial))+1),COLUMNS($A86:E86))),"")</f>
        <v/>
      </c>
      <c r="I86" s="38" t="str">
        <f t="array" ref="I86">IFERROR(INDEX(Fichier_initial,SMALL(IF(Id_Impression=$A86,ROW(Fichier_initial)-MIN(ROW(Fichier_initial))+1),COLUMNS($A86:F86))),"")</f>
        <v/>
      </c>
      <c r="J86" s="38" t="str">
        <f t="array" ref="J86">IFERROR(INDEX(Fichier_initial,SMALL(IF(Id_Impression=$A86,ROW(Fichier_initial)-MIN(ROW(Fichier_initial))+1),COLUMNS($A86:G86))),"")</f>
        <v/>
      </c>
      <c r="K86" s="39">
        <f t="array" ref="K86">IFERROR(INDEX(Temps_Total,SMALL(IF(Id_Impression=$A86,ROW(Temps_Total)-MIN(ROW(Temps_Total))+1),COLUMNS($A$3:A86))),"")</f>
        <v>0.125</v>
      </c>
      <c r="L86" s="39">
        <f t="array" ref="L86">IFERROR(INDEX(Temps_Total,SMALL(IF(Id_Impression=$A86,ROW(Temps_Total)-MIN(ROW(Temps_Total))+1),COLUMNS($A$3:B86))),"")</f>
        <v>3.888888888888889E-2</v>
      </c>
      <c r="M86" s="39" t="str">
        <f t="array" ref="M86">IFERROR(INDEX(Temps_Total,SMALL(IF(Id_Impression=$A86,ROW(Temps_Total)-MIN(ROW(Temps_Total))+1),COLUMNS($A$3:C86))),"")</f>
        <v/>
      </c>
      <c r="N86" s="39" t="str">
        <f t="array" ref="N86">IFERROR(INDEX(Temps_Total,SMALL(IF(Id_Impression=$A86,ROW(Temps_Total)-MIN(ROW(Temps_Total))+1),COLUMNS($A$3:D86))),"")</f>
        <v/>
      </c>
      <c r="O86" s="39" t="str">
        <f t="array" ref="O86">IFERROR(INDEX(Temps_Total,SMALL(IF(Id_Impression=$A86,ROW(Temps_Total)-MIN(ROW(Temps_Total))+1),COLUMNS($A$3:E86))),"")</f>
        <v/>
      </c>
      <c r="P86" s="39" t="str">
        <f t="array" ref="P86">IFERROR(INDEX(Temps_Total,SMALL(IF(Id_Impression=$A86,ROW(Temps_Total)-MIN(ROW(Temps_Total))+1),COLUMNS($A$3:F86))),"")</f>
        <v/>
      </c>
      <c r="Q86" s="39" t="str">
        <f t="array" ref="Q86">IFERROR(INDEX(Temps_Total,SMALL(IF(Id_Impression=$A86,ROW(Temps_Total)-MIN(ROW(Temps_Total))+1),COLUMNS($A$3:G86))),"")</f>
        <v/>
      </c>
      <c r="R86" s="38">
        <f t="array" ref="R86">IFERROR(INDEX(Quantité_à_imprimer_12_2017,SMALL(IF(Id_Impression=$A86,ROW(Quantité_à_imprimer_12_2017)-MIN(ROW(Quantité_à_imprimer_12_2017))+1),COLUMNS($A$3:A86))),"")</f>
        <v>1</v>
      </c>
      <c r="S86" s="38">
        <f t="array" ref="S86">IFERROR(INDEX(Quantité_à_imprimer_12_2017,SMALL(IF(Id_Impression=$A86,ROW(Quantité_à_imprimer_12_2017)-MIN(ROW(Quantité_à_imprimer_12_2017))+1),COLUMNS($A$3:B86))),"")</f>
        <v>1</v>
      </c>
      <c r="T86" s="38" t="str">
        <f t="array" ref="T86">IFERROR(INDEX(Quantité_à_imprimer_12_2017,SMALL(IF(Id_Impression=$A86,ROW(Quantité_à_imprimer_12_2017)-MIN(ROW(Quantité_à_imprimer_12_2017))+1),COLUMNS($A$3:C86))),"")</f>
        <v/>
      </c>
      <c r="U86" s="38" t="str">
        <f t="array" ref="U86">IFERROR(INDEX(Quantité_à_imprimer_12_2017,SMALL(IF(Id_Impression=$A86,ROW(Quantité_à_imprimer_12_2017)-MIN(ROW(Quantité_à_imprimer_12_2017))+1),COLUMNS($A$3:D86))),"")</f>
        <v/>
      </c>
      <c r="V86" s="38" t="str">
        <f t="array" ref="V86">IFERROR(INDEX(Quantité_à_imprimer_12_2017,SMALL(IF(Id_Impression=$A86,ROW(Quantité_à_imprimer_12_2017)-MIN(ROW(Quantité_à_imprimer_12_2017))+1),COLUMNS($A$3:E86))),"")</f>
        <v/>
      </c>
      <c r="W86" s="38" t="str">
        <f t="array" ref="W86">IFERROR(INDEX(Quantité_à_imprimer_12_2017,SMALL(IF(Id_Impression=$A86,ROW(Quantité_à_imprimer_12_2017)-MIN(ROW(Quantité_à_imprimer_12_2017))+1),COLUMNS($A$3:F86))),"")</f>
        <v/>
      </c>
      <c r="X86" s="38" t="str">
        <f t="array" ref="X86">IFERROR(INDEX(Quantité_à_imprimer_12_2017,SMALL(IF(Id_Impression=$A86,ROW(Quantité_à_imprimer_12_2017)-MIN(ROW(Quantité_à_imprimer_12_2017))+1),COLUMNS($A$3:G86))),"")</f>
        <v/>
      </c>
    </row>
    <row r="87" spans="1:24" x14ac:dyDescent="0.55000000000000004">
      <c r="A87" s="40">
        <v>86</v>
      </c>
      <c r="B87" s="36">
        <f t="shared" si="1"/>
        <v>0.18124999999999999</v>
      </c>
      <c r="C87" s="37">
        <v>2</v>
      </c>
      <c r="D87" s="38" t="str">
        <f t="array" ref="D87">IFERROR(INDEX(Fichier_initial,SMALL(IF(Id_Impression=$A87,ROW(Fichier_initial)-MIN(ROW(Fichier_initial))+1),COLUMNS($A87:A87))),"")</f>
        <v>SideHearV2</v>
      </c>
      <c r="E87" s="38" t="str">
        <f t="array" ref="E87">IFERROR(INDEX(Fichier_initial,SMALL(IF(Id_Impression=$A87,ROW(Fichier_initial)-MIN(ROW(Fichier_initial))+1),COLUMNS($A87:B87))),"")</f>
        <v>JawHingeV1</v>
      </c>
      <c r="F87" s="38" t="str">
        <f t="array" ref="F87">IFERROR(INDEX(Fichier_initial,SMALL(IF(Id_Impression=$A87,ROW(Fichier_initial)-MIN(ROW(Fichier_initial))+1),COLUMNS($A87:C87))),"")</f>
        <v/>
      </c>
      <c r="G87" s="38" t="str">
        <f t="array" ref="G87">IFERROR(INDEX(Fichier_initial,SMALL(IF(Id_Impression=$A87,ROW(Fichier_initial)-MIN(ROW(Fichier_initial))+1),COLUMNS($A87:D87))),"")</f>
        <v/>
      </c>
      <c r="H87" s="38" t="str">
        <f t="array" ref="H87">IFERROR(INDEX(Fichier_initial,SMALL(IF(Id_Impression=$A87,ROW(Fichier_initial)-MIN(ROW(Fichier_initial))+1),COLUMNS($A87:E87))),"")</f>
        <v/>
      </c>
      <c r="I87" s="38" t="str">
        <f t="array" ref="I87">IFERROR(INDEX(Fichier_initial,SMALL(IF(Id_Impression=$A87,ROW(Fichier_initial)-MIN(ROW(Fichier_initial))+1),COLUMNS($A87:F87))),"")</f>
        <v/>
      </c>
      <c r="J87" s="38" t="str">
        <f t="array" ref="J87">IFERROR(INDEX(Fichier_initial,SMALL(IF(Id_Impression=$A87,ROW(Fichier_initial)-MIN(ROW(Fichier_initial))+1),COLUMNS($A87:G87))),"")</f>
        <v/>
      </c>
      <c r="K87" s="39">
        <f t="array" ref="K87">IFERROR(INDEX(Temps_Total,SMALL(IF(Id_Impression=$A87,ROW(Temps_Total)-MIN(ROW(Temps_Total))+1),COLUMNS($A$3:A87))),"")</f>
        <v>0.14791666666666667</v>
      </c>
      <c r="L87" s="39">
        <f t="array" ref="L87">IFERROR(INDEX(Temps_Total,SMALL(IF(Id_Impression=$A87,ROW(Temps_Total)-MIN(ROW(Temps_Total))+1),COLUMNS($A$3:B87))),"")</f>
        <v>3.3333333333333333E-2</v>
      </c>
      <c r="M87" s="39" t="str">
        <f t="array" ref="M87">IFERROR(INDEX(Temps_Total,SMALL(IF(Id_Impression=$A87,ROW(Temps_Total)-MIN(ROW(Temps_Total))+1),COLUMNS($A$3:C87))),"")</f>
        <v/>
      </c>
      <c r="N87" s="39" t="str">
        <f t="array" ref="N87">IFERROR(INDEX(Temps_Total,SMALL(IF(Id_Impression=$A87,ROW(Temps_Total)-MIN(ROW(Temps_Total))+1),COLUMNS($A$3:D87))),"")</f>
        <v/>
      </c>
      <c r="O87" s="39" t="str">
        <f t="array" ref="O87">IFERROR(INDEX(Temps_Total,SMALL(IF(Id_Impression=$A87,ROW(Temps_Total)-MIN(ROW(Temps_Total))+1),COLUMNS($A$3:E87))),"")</f>
        <v/>
      </c>
      <c r="P87" s="39" t="str">
        <f t="array" ref="P87">IFERROR(INDEX(Temps_Total,SMALL(IF(Id_Impression=$A87,ROW(Temps_Total)-MIN(ROW(Temps_Total))+1),COLUMNS($A$3:F87))),"")</f>
        <v/>
      </c>
      <c r="Q87" s="39" t="str">
        <f t="array" ref="Q87">IFERROR(INDEX(Temps_Total,SMALL(IF(Id_Impression=$A87,ROW(Temps_Total)-MIN(ROW(Temps_Total))+1),COLUMNS($A$3:G87))),"")</f>
        <v/>
      </c>
      <c r="R87" s="38">
        <f t="array" ref="R87">IFERROR(INDEX(Quantité_à_imprimer_12_2017,SMALL(IF(Id_Impression=$A87,ROW(Quantité_à_imprimer_12_2017)-MIN(ROW(Quantité_à_imprimer_12_2017))+1),COLUMNS($A$3:A87))),"")</f>
        <v>1</v>
      </c>
      <c r="S87" s="38">
        <f t="array" ref="S87">IFERROR(INDEX(Quantité_à_imprimer_12_2017,SMALL(IF(Id_Impression=$A87,ROW(Quantité_à_imprimer_12_2017)-MIN(ROW(Quantité_à_imprimer_12_2017))+1),COLUMNS($A$3:B87))),"")</f>
        <v>1</v>
      </c>
      <c r="T87" s="38" t="str">
        <f t="array" ref="T87">IFERROR(INDEX(Quantité_à_imprimer_12_2017,SMALL(IF(Id_Impression=$A87,ROW(Quantité_à_imprimer_12_2017)-MIN(ROW(Quantité_à_imprimer_12_2017))+1),COLUMNS($A$3:C87))),"")</f>
        <v/>
      </c>
      <c r="U87" s="38" t="str">
        <f t="array" ref="U87">IFERROR(INDEX(Quantité_à_imprimer_12_2017,SMALL(IF(Id_Impression=$A87,ROW(Quantité_à_imprimer_12_2017)-MIN(ROW(Quantité_à_imprimer_12_2017))+1),COLUMNS($A$3:D87))),"")</f>
        <v/>
      </c>
      <c r="V87" s="38" t="str">
        <f t="array" ref="V87">IFERROR(INDEX(Quantité_à_imprimer_12_2017,SMALL(IF(Id_Impression=$A87,ROW(Quantité_à_imprimer_12_2017)-MIN(ROW(Quantité_à_imprimer_12_2017))+1),COLUMNS($A$3:E87))),"")</f>
        <v/>
      </c>
      <c r="W87" s="38" t="str">
        <f t="array" ref="W87">IFERROR(INDEX(Quantité_à_imprimer_12_2017,SMALL(IF(Id_Impression=$A87,ROW(Quantité_à_imprimer_12_2017)-MIN(ROW(Quantité_à_imprimer_12_2017))+1),COLUMNS($A$3:F87))),"")</f>
        <v/>
      </c>
      <c r="X87" s="38" t="str">
        <f t="array" ref="X87">IFERROR(INDEX(Quantité_à_imprimer_12_2017,SMALL(IF(Id_Impression=$A87,ROW(Quantité_à_imprimer_12_2017)-MIN(ROW(Quantité_à_imprimer_12_2017))+1),COLUMNS($A$3:G87))),"")</f>
        <v/>
      </c>
    </row>
    <row r="88" spans="1:24" x14ac:dyDescent="0.55000000000000004">
      <c r="A88" s="40">
        <v>87</v>
      </c>
      <c r="B88" s="36">
        <f t="shared" si="1"/>
        <v>0.16041666666666668</v>
      </c>
      <c r="C88" s="37">
        <v>1</v>
      </c>
      <c r="D88" s="38" t="str">
        <f t="array" ref="D88">IFERROR(INDEX(Fichier_initial,SMALL(IF(Id_Impression=$A88,ROW(Fichier_initial)-MIN(ROW(Fichier_initial))+1),COLUMNS($A88:A88))),"")</f>
        <v>JawV4</v>
      </c>
      <c r="E88" s="38" t="str">
        <f t="array" ref="E88">IFERROR(INDEX(Fichier_initial,SMALL(IF(Id_Impression=$A88,ROW(Fichier_initial)-MIN(ROW(Fichier_initial))+1),COLUMNS($A88:B88))),"")</f>
        <v/>
      </c>
      <c r="F88" s="38" t="str">
        <f t="array" ref="F88">IFERROR(INDEX(Fichier_initial,SMALL(IF(Id_Impression=$A88,ROW(Fichier_initial)-MIN(ROW(Fichier_initial))+1),COLUMNS($A88:C88))),"")</f>
        <v/>
      </c>
      <c r="G88" s="38" t="str">
        <f t="array" ref="G88">IFERROR(INDEX(Fichier_initial,SMALL(IF(Id_Impression=$A88,ROW(Fichier_initial)-MIN(ROW(Fichier_initial))+1),COLUMNS($A88:D88))),"")</f>
        <v/>
      </c>
      <c r="H88" s="38" t="str">
        <f t="array" ref="H88">IFERROR(INDEX(Fichier_initial,SMALL(IF(Id_Impression=$A88,ROW(Fichier_initial)-MIN(ROW(Fichier_initial))+1),COLUMNS($A88:E88))),"")</f>
        <v/>
      </c>
      <c r="I88" s="38" t="str">
        <f t="array" ref="I88">IFERROR(INDEX(Fichier_initial,SMALL(IF(Id_Impression=$A88,ROW(Fichier_initial)-MIN(ROW(Fichier_initial))+1),COLUMNS($A88:F88))),"")</f>
        <v/>
      </c>
      <c r="J88" s="38" t="str">
        <f t="array" ref="J88">IFERROR(INDEX(Fichier_initial,SMALL(IF(Id_Impression=$A88,ROW(Fichier_initial)-MIN(ROW(Fichier_initial))+1),COLUMNS($A88:G88))),"")</f>
        <v/>
      </c>
      <c r="K88" s="39">
        <f t="array" ref="K88">IFERROR(INDEX(Temps_Total,SMALL(IF(Id_Impression=$A88,ROW(Temps_Total)-MIN(ROW(Temps_Total))+1),COLUMNS($A$3:A88))),"")</f>
        <v>0.16041666666666668</v>
      </c>
      <c r="L88" s="39" t="str">
        <f t="array" ref="L88">IFERROR(INDEX(Temps_Total,SMALL(IF(Id_Impression=$A88,ROW(Temps_Total)-MIN(ROW(Temps_Total))+1),COLUMNS($A$3:B88))),"")</f>
        <v/>
      </c>
      <c r="M88" s="39" t="str">
        <f t="array" ref="M88">IFERROR(INDEX(Temps_Total,SMALL(IF(Id_Impression=$A88,ROW(Temps_Total)-MIN(ROW(Temps_Total))+1),COLUMNS($A$3:C88))),"")</f>
        <v/>
      </c>
      <c r="N88" s="39" t="str">
        <f t="array" ref="N88">IFERROR(INDEX(Temps_Total,SMALL(IF(Id_Impression=$A88,ROW(Temps_Total)-MIN(ROW(Temps_Total))+1),COLUMNS($A$3:D88))),"")</f>
        <v/>
      </c>
      <c r="O88" s="39" t="str">
        <f t="array" ref="O88">IFERROR(INDEX(Temps_Total,SMALL(IF(Id_Impression=$A88,ROW(Temps_Total)-MIN(ROW(Temps_Total))+1),COLUMNS($A$3:E88))),"")</f>
        <v/>
      </c>
      <c r="P88" s="39" t="str">
        <f t="array" ref="P88">IFERROR(INDEX(Temps_Total,SMALL(IF(Id_Impression=$A88,ROW(Temps_Total)-MIN(ROW(Temps_Total))+1),COLUMNS($A$3:F88))),"")</f>
        <v/>
      </c>
      <c r="Q88" s="39" t="str">
        <f t="array" ref="Q88">IFERROR(INDEX(Temps_Total,SMALL(IF(Id_Impression=$A88,ROW(Temps_Total)-MIN(ROW(Temps_Total))+1),COLUMNS($A$3:G88))),"")</f>
        <v/>
      </c>
      <c r="R88" s="38">
        <f t="array" ref="R88">IFERROR(INDEX(Quantité_à_imprimer_12_2017,SMALL(IF(Id_Impression=$A88,ROW(Quantité_à_imprimer_12_2017)-MIN(ROW(Quantité_à_imprimer_12_2017))+1),COLUMNS($A$3:A88))),"")</f>
        <v>1</v>
      </c>
      <c r="S88" s="38" t="str">
        <f t="array" ref="S88">IFERROR(INDEX(Quantité_à_imprimer_12_2017,SMALL(IF(Id_Impression=$A88,ROW(Quantité_à_imprimer_12_2017)-MIN(ROW(Quantité_à_imprimer_12_2017))+1),COLUMNS($A$3:B88))),"")</f>
        <v/>
      </c>
      <c r="T88" s="38" t="str">
        <f t="array" ref="T88">IFERROR(INDEX(Quantité_à_imprimer_12_2017,SMALL(IF(Id_Impression=$A88,ROW(Quantité_à_imprimer_12_2017)-MIN(ROW(Quantité_à_imprimer_12_2017))+1),COLUMNS($A$3:C88))),"")</f>
        <v/>
      </c>
      <c r="U88" s="38" t="str">
        <f t="array" ref="U88">IFERROR(INDEX(Quantité_à_imprimer_12_2017,SMALL(IF(Id_Impression=$A88,ROW(Quantité_à_imprimer_12_2017)-MIN(ROW(Quantité_à_imprimer_12_2017))+1),COLUMNS($A$3:D88))),"")</f>
        <v/>
      </c>
      <c r="V88" s="38" t="str">
        <f t="array" ref="V88">IFERROR(INDEX(Quantité_à_imprimer_12_2017,SMALL(IF(Id_Impression=$A88,ROW(Quantité_à_imprimer_12_2017)-MIN(ROW(Quantité_à_imprimer_12_2017))+1),COLUMNS($A$3:E88))),"")</f>
        <v/>
      </c>
      <c r="W88" s="38" t="str">
        <f t="array" ref="W88">IFERROR(INDEX(Quantité_à_imprimer_12_2017,SMALL(IF(Id_Impression=$A88,ROW(Quantité_à_imprimer_12_2017)-MIN(ROW(Quantité_à_imprimer_12_2017))+1),COLUMNS($A$3:F88))),"")</f>
        <v/>
      </c>
      <c r="X88" s="38" t="str">
        <f t="array" ref="X88">IFERROR(INDEX(Quantité_à_imprimer_12_2017,SMALL(IF(Id_Impression=$A88,ROW(Quantité_à_imprimer_12_2017)-MIN(ROW(Quantité_à_imprimer_12_2017))+1),COLUMNS($A$3:G88))),"")</f>
        <v/>
      </c>
    </row>
    <row r="89" spans="1:24" x14ac:dyDescent="0.55000000000000004">
      <c r="A89" s="40">
        <v>88</v>
      </c>
      <c r="B89" s="36">
        <f t="shared" si="1"/>
        <v>0.17083333333333331</v>
      </c>
      <c r="C89" s="37">
        <v>1</v>
      </c>
      <c r="D89" s="38" t="str">
        <f t="array" ref="D89">IFERROR(INDEX(Fichier_initial,SMALL(IF(Id_Impression=$A89,ROW(Fichier_initial)-MIN(ROW(Fichier_initial))+1),COLUMNS($A89:A89))),"")</f>
        <v>EyeglassV2</v>
      </c>
      <c r="E89" s="38" t="str">
        <f t="array" ref="E89">IFERROR(INDEX(Fichier_initial,SMALL(IF(Id_Impression=$A89,ROW(Fichier_initial)-MIN(ROW(Fichier_initial))+1),COLUMNS($A89:B89))),"")</f>
        <v/>
      </c>
      <c r="F89" s="38" t="str">
        <f t="array" ref="F89">IFERROR(INDEX(Fichier_initial,SMALL(IF(Id_Impression=$A89,ROW(Fichier_initial)-MIN(ROW(Fichier_initial))+1),COLUMNS($A89:C89))),"")</f>
        <v/>
      </c>
      <c r="G89" s="38" t="str">
        <f t="array" ref="G89">IFERROR(INDEX(Fichier_initial,SMALL(IF(Id_Impression=$A89,ROW(Fichier_initial)-MIN(ROW(Fichier_initial))+1),COLUMNS($A89:D89))),"")</f>
        <v/>
      </c>
      <c r="H89" s="38" t="str">
        <f t="array" ref="H89">IFERROR(INDEX(Fichier_initial,SMALL(IF(Id_Impression=$A89,ROW(Fichier_initial)-MIN(ROW(Fichier_initial))+1),COLUMNS($A89:E89))),"")</f>
        <v/>
      </c>
      <c r="I89" s="38" t="str">
        <f t="array" ref="I89">IFERROR(INDEX(Fichier_initial,SMALL(IF(Id_Impression=$A89,ROW(Fichier_initial)-MIN(ROW(Fichier_initial))+1),COLUMNS($A89:F89))),"")</f>
        <v/>
      </c>
      <c r="J89" s="38" t="str">
        <f t="array" ref="J89">IFERROR(INDEX(Fichier_initial,SMALL(IF(Id_Impression=$A89,ROW(Fichier_initial)-MIN(ROW(Fichier_initial))+1),COLUMNS($A89:G89))),"")</f>
        <v/>
      </c>
      <c r="K89" s="39">
        <f t="array" ref="K89">IFERROR(INDEX(Temps_Total,SMALL(IF(Id_Impression=$A89,ROW(Temps_Total)-MIN(ROW(Temps_Total))+1),COLUMNS($A$3:A89))),"")</f>
        <v>0.17083333333333331</v>
      </c>
      <c r="L89" s="39" t="str">
        <f t="array" ref="L89">IFERROR(INDEX(Temps_Total,SMALL(IF(Id_Impression=$A89,ROW(Temps_Total)-MIN(ROW(Temps_Total))+1),COLUMNS($A$3:B89))),"")</f>
        <v/>
      </c>
      <c r="M89" s="39" t="str">
        <f t="array" ref="M89">IFERROR(INDEX(Temps_Total,SMALL(IF(Id_Impression=$A89,ROW(Temps_Total)-MIN(ROW(Temps_Total))+1),COLUMNS($A$3:C89))),"")</f>
        <v/>
      </c>
      <c r="N89" s="39" t="str">
        <f t="array" ref="N89">IFERROR(INDEX(Temps_Total,SMALL(IF(Id_Impression=$A89,ROW(Temps_Total)-MIN(ROW(Temps_Total))+1),COLUMNS($A$3:D89))),"")</f>
        <v/>
      </c>
      <c r="O89" s="39" t="str">
        <f t="array" ref="O89">IFERROR(INDEX(Temps_Total,SMALL(IF(Id_Impression=$A89,ROW(Temps_Total)-MIN(ROW(Temps_Total))+1),COLUMNS($A$3:E89))),"")</f>
        <v/>
      </c>
      <c r="P89" s="39" t="str">
        <f t="array" ref="P89">IFERROR(INDEX(Temps_Total,SMALL(IF(Id_Impression=$A89,ROW(Temps_Total)-MIN(ROW(Temps_Total))+1),COLUMNS($A$3:F89))),"")</f>
        <v/>
      </c>
      <c r="Q89" s="39" t="str">
        <f t="array" ref="Q89">IFERROR(INDEX(Temps_Total,SMALL(IF(Id_Impression=$A89,ROW(Temps_Total)-MIN(ROW(Temps_Total))+1),COLUMNS($A$3:G89))),"")</f>
        <v/>
      </c>
      <c r="R89" s="38">
        <f t="array" ref="R89">IFERROR(INDEX(Quantité_à_imprimer_12_2017,SMALL(IF(Id_Impression=$A89,ROW(Quantité_à_imprimer_12_2017)-MIN(ROW(Quantité_à_imprimer_12_2017))+1),COLUMNS($A$3:A89))),"")</f>
        <v>1</v>
      </c>
      <c r="S89" s="38" t="str">
        <f t="array" ref="S89">IFERROR(INDEX(Quantité_à_imprimer_12_2017,SMALL(IF(Id_Impression=$A89,ROW(Quantité_à_imprimer_12_2017)-MIN(ROW(Quantité_à_imprimer_12_2017))+1),COLUMNS($A$3:B89))),"")</f>
        <v/>
      </c>
      <c r="T89" s="38" t="str">
        <f t="array" ref="T89">IFERROR(INDEX(Quantité_à_imprimer_12_2017,SMALL(IF(Id_Impression=$A89,ROW(Quantité_à_imprimer_12_2017)-MIN(ROW(Quantité_à_imprimer_12_2017))+1),COLUMNS($A$3:C89))),"")</f>
        <v/>
      </c>
      <c r="U89" s="38" t="str">
        <f t="array" ref="U89">IFERROR(INDEX(Quantité_à_imprimer_12_2017,SMALL(IF(Id_Impression=$A89,ROW(Quantité_à_imprimer_12_2017)-MIN(ROW(Quantité_à_imprimer_12_2017))+1),COLUMNS($A$3:D89))),"")</f>
        <v/>
      </c>
      <c r="V89" s="38" t="str">
        <f t="array" ref="V89">IFERROR(INDEX(Quantité_à_imprimer_12_2017,SMALL(IF(Id_Impression=$A89,ROW(Quantité_à_imprimer_12_2017)-MIN(ROW(Quantité_à_imprimer_12_2017))+1),COLUMNS($A$3:E89))),"")</f>
        <v/>
      </c>
      <c r="W89" s="38" t="str">
        <f t="array" ref="W89">IFERROR(INDEX(Quantité_à_imprimer_12_2017,SMALL(IF(Id_Impression=$A89,ROW(Quantité_à_imprimer_12_2017)-MIN(ROW(Quantité_à_imprimer_12_2017))+1),COLUMNS($A$3:F89))),"")</f>
        <v/>
      </c>
      <c r="X89" s="38" t="str">
        <f t="array" ref="X89">IFERROR(INDEX(Quantité_à_imprimer_12_2017,SMALL(IF(Id_Impression=$A89,ROW(Quantité_à_imprimer_12_2017)-MIN(ROW(Quantité_à_imprimer_12_2017))+1),COLUMNS($A$3:G89))),"")</f>
        <v/>
      </c>
    </row>
    <row r="90" spans="1:24" x14ac:dyDescent="0.55000000000000004">
      <c r="A90" s="40">
        <v>89</v>
      </c>
      <c r="B90" s="36">
        <f t="shared" si="1"/>
        <v>0.20694444444444446</v>
      </c>
      <c r="C90" s="37">
        <v>1</v>
      </c>
      <c r="D90" s="38" t="str">
        <f t="array" ref="D90">IFERROR(INDEX(Fichier_initial,SMALL(IF(Id_Impression=$A90,ROW(Fichier_initial)-MIN(ROW(Fichier_initial))+1),COLUMNS($A90:A90))),"")</f>
        <v>LowbackV2</v>
      </c>
      <c r="E90" s="38" t="str">
        <f t="array" ref="E90">IFERROR(INDEX(Fichier_initial,SMALL(IF(Id_Impression=$A90,ROW(Fichier_initial)-MIN(ROW(Fichier_initial))+1),COLUMNS($A90:B90))),"")</f>
        <v/>
      </c>
      <c r="F90" s="38" t="str">
        <f t="array" ref="F90">IFERROR(INDEX(Fichier_initial,SMALL(IF(Id_Impression=$A90,ROW(Fichier_initial)-MIN(ROW(Fichier_initial))+1),COLUMNS($A90:C90))),"")</f>
        <v/>
      </c>
      <c r="G90" s="38" t="str">
        <f t="array" ref="G90">IFERROR(INDEX(Fichier_initial,SMALL(IF(Id_Impression=$A90,ROW(Fichier_initial)-MIN(ROW(Fichier_initial))+1),COLUMNS($A90:D90))),"")</f>
        <v/>
      </c>
      <c r="H90" s="38" t="str">
        <f t="array" ref="H90">IFERROR(INDEX(Fichier_initial,SMALL(IF(Id_Impression=$A90,ROW(Fichier_initial)-MIN(ROW(Fichier_initial))+1),COLUMNS($A90:E90))),"")</f>
        <v/>
      </c>
      <c r="I90" s="38" t="str">
        <f t="array" ref="I90">IFERROR(INDEX(Fichier_initial,SMALL(IF(Id_Impression=$A90,ROW(Fichier_initial)-MIN(ROW(Fichier_initial))+1),COLUMNS($A90:F90))),"")</f>
        <v/>
      </c>
      <c r="J90" s="38" t="str">
        <f t="array" ref="J90">IFERROR(INDEX(Fichier_initial,SMALL(IF(Id_Impression=$A90,ROW(Fichier_initial)-MIN(ROW(Fichier_initial))+1),COLUMNS($A90:G90))),"")</f>
        <v/>
      </c>
      <c r="K90" s="39">
        <f t="array" ref="K90">IFERROR(INDEX(Temps_Total,SMALL(IF(Id_Impression=$A90,ROW(Temps_Total)-MIN(ROW(Temps_Total))+1),COLUMNS($A$3:A90))),"")</f>
        <v>0.20694444444444446</v>
      </c>
      <c r="L90" s="39" t="str">
        <f t="array" ref="L90">IFERROR(INDEX(Temps_Total,SMALL(IF(Id_Impression=$A90,ROW(Temps_Total)-MIN(ROW(Temps_Total))+1),COLUMNS($A$3:B90))),"")</f>
        <v/>
      </c>
      <c r="M90" s="39" t="str">
        <f t="array" ref="M90">IFERROR(INDEX(Temps_Total,SMALL(IF(Id_Impression=$A90,ROW(Temps_Total)-MIN(ROW(Temps_Total))+1),COLUMNS($A$3:C90))),"")</f>
        <v/>
      </c>
      <c r="N90" s="39" t="str">
        <f t="array" ref="N90">IFERROR(INDEX(Temps_Total,SMALL(IF(Id_Impression=$A90,ROW(Temps_Total)-MIN(ROW(Temps_Total))+1),COLUMNS($A$3:D90))),"")</f>
        <v/>
      </c>
      <c r="O90" s="39" t="str">
        <f t="array" ref="O90">IFERROR(INDEX(Temps_Total,SMALL(IF(Id_Impression=$A90,ROW(Temps_Total)-MIN(ROW(Temps_Total))+1),COLUMNS($A$3:E90))),"")</f>
        <v/>
      </c>
      <c r="P90" s="39" t="str">
        <f t="array" ref="P90">IFERROR(INDEX(Temps_Total,SMALL(IF(Id_Impression=$A90,ROW(Temps_Total)-MIN(ROW(Temps_Total))+1),COLUMNS($A$3:F90))),"")</f>
        <v/>
      </c>
      <c r="Q90" s="39" t="str">
        <f t="array" ref="Q90">IFERROR(INDEX(Temps_Total,SMALL(IF(Id_Impression=$A90,ROW(Temps_Total)-MIN(ROW(Temps_Total))+1),COLUMNS($A$3:G90))),"")</f>
        <v/>
      </c>
      <c r="R90" s="38">
        <f t="array" ref="R90">IFERROR(INDEX(Quantité_à_imprimer_12_2017,SMALL(IF(Id_Impression=$A90,ROW(Quantité_à_imprimer_12_2017)-MIN(ROW(Quantité_à_imprimer_12_2017))+1),COLUMNS($A$3:A90))),"")</f>
        <v>1</v>
      </c>
      <c r="S90" s="38" t="str">
        <f t="array" ref="S90">IFERROR(INDEX(Quantité_à_imprimer_12_2017,SMALL(IF(Id_Impression=$A90,ROW(Quantité_à_imprimer_12_2017)-MIN(ROW(Quantité_à_imprimer_12_2017))+1),COLUMNS($A$3:B90))),"")</f>
        <v/>
      </c>
      <c r="T90" s="38" t="str">
        <f t="array" ref="T90">IFERROR(INDEX(Quantité_à_imprimer_12_2017,SMALL(IF(Id_Impression=$A90,ROW(Quantité_à_imprimer_12_2017)-MIN(ROW(Quantité_à_imprimer_12_2017))+1),COLUMNS($A$3:C90))),"")</f>
        <v/>
      </c>
      <c r="U90" s="38" t="str">
        <f t="array" ref="U90">IFERROR(INDEX(Quantité_à_imprimer_12_2017,SMALL(IF(Id_Impression=$A90,ROW(Quantité_à_imprimer_12_2017)-MIN(ROW(Quantité_à_imprimer_12_2017))+1),COLUMNS($A$3:D90))),"")</f>
        <v/>
      </c>
      <c r="V90" s="38" t="str">
        <f t="array" ref="V90">IFERROR(INDEX(Quantité_à_imprimer_12_2017,SMALL(IF(Id_Impression=$A90,ROW(Quantité_à_imprimer_12_2017)-MIN(ROW(Quantité_à_imprimer_12_2017))+1),COLUMNS($A$3:E90))),"")</f>
        <v/>
      </c>
      <c r="W90" s="38" t="str">
        <f t="array" ref="W90">IFERROR(INDEX(Quantité_à_imprimer_12_2017,SMALL(IF(Id_Impression=$A90,ROW(Quantité_à_imprimer_12_2017)-MIN(ROW(Quantité_à_imprimer_12_2017))+1),COLUMNS($A$3:F90))),"")</f>
        <v/>
      </c>
      <c r="X90" s="38" t="str">
        <f t="array" ref="X90">IFERROR(INDEX(Quantité_à_imprimer_12_2017,SMALL(IF(Id_Impression=$A90,ROW(Quantité_à_imprimer_12_2017)-MIN(ROW(Quantité_à_imprimer_12_2017))+1),COLUMNS($A$3:G90))),"")</f>
        <v/>
      </c>
    </row>
    <row r="91" spans="1:24" x14ac:dyDescent="0.55000000000000004">
      <c r="A91" s="40">
        <v>90</v>
      </c>
      <c r="B91" s="36">
        <f t="shared" si="1"/>
        <v>0.23750000000000002</v>
      </c>
      <c r="C91" s="37">
        <v>1</v>
      </c>
      <c r="D91" s="38" t="str">
        <f t="array" ref="D91">IFERROR(INDEX(Fichier_initial,SMALL(IF(Id_Impression=$A91,ROW(Fichier_initial)-MIN(ROW(Fichier_initial))+1),COLUMNS($A91:A91))),"")</f>
        <v>TopMouthV2</v>
      </c>
      <c r="E91" s="38" t="str">
        <f t="array" ref="E91">IFERROR(INDEX(Fichier_initial,SMALL(IF(Id_Impression=$A91,ROW(Fichier_initial)-MIN(ROW(Fichier_initial))+1),COLUMNS($A91:B91))),"")</f>
        <v/>
      </c>
      <c r="F91" s="38" t="str">
        <f t="array" ref="F91">IFERROR(INDEX(Fichier_initial,SMALL(IF(Id_Impression=$A91,ROW(Fichier_initial)-MIN(ROW(Fichier_initial))+1),COLUMNS($A91:C91))),"")</f>
        <v/>
      </c>
      <c r="G91" s="38" t="str">
        <f t="array" ref="G91">IFERROR(INDEX(Fichier_initial,SMALL(IF(Id_Impression=$A91,ROW(Fichier_initial)-MIN(ROW(Fichier_initial))+1),COLUMNS($A91:D91))),"")</f>
        <v/>
      </c>
      <c r="H91" s="38" t="str">
        <f t="array" ref="H91">IFERROR(INDEX(Fichier_initial,SMALL(IF(Id_Impression=$A91,ROW(Fichier_initial)-MIN(ROW(Fichier_initial))+1),COLUMNS($A91:E91))),"")</f>
        <v/>
      </c>
      <c r="I91" s="38" t="str">
        <f t="array" ref="I91">IFERROR(INDEX(Fichier_initial,SMALL(IF(Id_Impression=$A91,ROW(Fichier_initial)-MIN(ROW(Fichier_initial))+1),COLUMNS($A91:F91))),"")</f>
        <v/>
      </c>
      <c r="J91" s="38" t="str">
        <f t="array" ref="J91">IFERROR(INDEX(Fichier_initial,SMALL(IF(Id_Impression=$A91,ROW(Fichier_initial)-MIN(ROW(Fichier_initial))+1),COLUMNS($A91:G91))),"")</f>
        <v/>
      </c>
      <c r="K91" s="39">
        <f t="array" ref="K91">IFERROR(INDEX(Temps_Total,SMALL(IF(Id_Impression=$A91,ROW(Temps_Total)-MIN(ROW(Temps_Total))+1),COLUMNS($A$3:A91))),"")</f>
        <v>0.23750000000000002</v>
      </c>
      <c r="L91" s="39" t="str">
        <f t="array" ref="L91">IFERROR(INDEX(Temps_Total,SMALL(IF(Id_Impression=$A91,ROW(Temps_Total)-MIN(ROW(Temps_Total))+1),COLUMNS($A$3:B91))),"")</f>
        <v/>
      </c>
      <c r="M91" s="39" t="str">
        <f t="array" ref="M91">IFERROR(INDEX(Temps_Total,SMALL(IF(Id_Impression=$A91,ROW(Temps_Total)-MIN(ROW(Temps_Total))+1),COLUMNS($A$3:C91))),"")</f>
        <v/>
      </c>
      <c r="N91" s="39" t="str">
        <f t="array" ref="N91">IFERROR(INDEX(Temps_Total,SMALL(IF(Id_Impression=$A91,ROW(Temps_Total)-MIN(ROW(Temps_Total))+1),COLUMNS($A$3:D91))),"")</f>
        <v/>
      </c>
      <c r="O91" s="39" t="str">
        <f t="array" ref="O91">IFERROR(INDEX(Temps_Total,SMALL(IF(Id_Impression=$A91,ROW(Temps_Total)-MIN(ROW(Temps_Total))+1),COLUMNS($A$3:E91))),"")</f>
        <v/>
      </c>
      <c r="P91" s="39" t="str">
        <f t="array" ref="P91">IFERROR(INDEX(Temps_Total,SMALL(IF(Id_Impression=$A91,ROW(Temps_Total)-MIN(ROW(Temps_Total))+1),COLUMNS($A$3:F91))),"")</f>
        <v/>
      </c>
      <c r="Q91" s="39" t="str">
        <f t="array" ref="Q91">IFERROR(INDEX(Temps_Total,SMALL(IF(Id_Impression=$A91,ROW(Temps_Total)-MIN(ROW(Temps_Total))+1),COLUMNS($A$3:G91))),"")</f>
        <v/>
      </c>
      <c r="R91" s="38">
        <f t="array" ref="R91">IFERROR(INDEX(Quantité_à_imprimer_12_2017,SMALL(IF(Id_Impression=$A91,ROW(Quantité_à_imprimer_12_2017)-MIN(ROW(Quantité_à_imprimer_12_2017))+1),COLUMNS($A$3:A91))),"")</f>
        <v>1</v>
      </c>
      <c r="S91" s="38" t="str">
        <f t="array" ref="S91">IFERROR(INDEX(Quantité_à_imprimer_12_2017,SMALL(IF(Id_Impression=$A91,ROW(Quantité_à_imprimer_12_2017)-MIN(ROW(Quantité_à_imprimer_12_2017))+1),COLUMNS($A$3:B91))),"")</f>
        <v/>
      </c>
      <c r="T91" s="38" t="str">
        <f t="array" ref="T91">IFERROR(INDEX(Quantité_à_imprimer_12_2017,SMALL(IF(Id_Impression=$A91,ROW(Quantité_à_imprimer_12_2017)-MIN(ROW(Quantité_à_imprimer_12_2017))+1),COLUMNS($A$3:C91))),"")</f>
        <v/>
      </c>
      <c r="U91" s="38" t="str">
        <f t="array" ref="U91">IFERROR(INDEX(Quantité_à_imprimer_12_2017,SMALL(IF(Id_Impression=$A91,ROW(Quantité_à_imprimer_12_2017)-MIN(ROW(Quantité_à_imprimer_12_2017))+1),COLUMNS($A$3:D91))),"")</f>
        <v/>
      </c>
      <c r="V91" s="38" t="str">
        <f t="array" ref="V91">IFERROR(INDEX(Quantité_à_imprimer_12_2017,SMALL(IF(Id_Impression=$A91,ROW(Quantité_à_imprimer_12_2017)-MIN(ROW(Quantité_à_imprimer_12_2017))+1),COLUMNS($A$3:E91))),"")</f>
        <v/>
      </c>
      <c r="W91" s="38" t="str">
        <f t="array" ref="W91">IFERROR(INDEX(Quantité_à_imprimer_12_2017,SMALL(IF(Id_Impression=$A91,ROW(Quantité_à_imprimer_12_2017)-MIN(ROW(Quantité_à_imprimer_12_2017))+1),COLUMNS($A$3:F91))),"")</f>
        <v/>
      </c>
      <c r="X91" s="38" t="str">
        <f t="array" ref="X91">IFERROR(INDEX(Quantité_à_imprimer_12_2017,SMALL(IF(Id_Impression=$A91,ROW(Quantité_à_imprimer_12_2017)-MIN(ROW(Quantité_à_imprimer_12_2017))+1),COLUMNS($A$3:G91))),"")</f>
        <v/>
      </c>
    </row>
    <row r="92" spans="1:24" x14ac:dyDescent="0.55000000000000004">
      <c r="A92" s="40">
        <v>91</v>
      </c>
      <c r="B92" s="36">
        <f t="shared" si="1"/>
        <v>0.16111111111111112</v>
      </c>
      <c r="C92" s="37">
        <v>2</v>
      </c>
      <c r="D92" s="38" t="str">
        <f t="array" ref="D92">IFERROR(INDEX(Fichier_initial,SMALL(IF(Id_Impression=$A92,ROW(Fichier_initial)-MIN(ROW(Fichier_initial))+1),COLUMNS($A92:A92))),"")</f>
        <v>EyeSupportV4</v>
      </c>
      <c r="E92" s="38" t="str">
        <f t="array" ref="E92">IFERROR(INDEX(Fichier_initial,SMALL(IF(Id_Impression=$A92,ROW(Fichier_initial)-MIN(ROW(Fichier_initial))+1),COLUMNS($A92:B92))),"")</f>
        <v>JawSupportV1</v>
      </c>
      <c r="F92" s="38" t="str">
        <f t="array" ref="F92">IFERROR(INDEX(Fichier_initial,SMALL(IF(Id_Impression=$A92,ROW(Fichier_initial)-MIN(ROW(Fichier_initial))+1),COLUMNS($A92:C92))),"")</f>
        <v/>
      </c>
      <c r="G92" s="38" t="str">
        <f t="array" ref="G92">IFERROR(INDEX(Fichier_initial,SMALL(IF(Id_Impression=$A92,ROW(Fichier_initial)-MIN(ROW(Fichier_initial))+1),COLUMNS($A92:D92))),"")</f>
        <v/>
      </c>
      <c r="H92" s="38" t="str">
        <f t="array" ref="H92">IFERROR(INDEX(Fichier_initial,SMALL(IF(Id_Impression=$A92,ROW(Fichier_initial)-MIN(ROW(Fichier_initial))+1),COLUMNS($A92:E92))),"")</f>
        <v/>
      </c>
      <c r="I92" s="38" t="str">
        <f t="array" ref="I92">IFERROR(INDEX(Fichier_initial,SMALL(IF(Id_Impression=$A92,ROW(Fichier_initial)-MIN(ROW(Fichier_initial))+1),COLUMNS($A92:F92))),"")</f>
        <v/>
      </c>
      <c r="J92" s="38" t="str">
        <f t="array" ref="J92">IFERROR(INDEX(Fichier_initial,SMALL(IF(Id_Impression=$A92,ROW(Fichier_initial)-MIN(ROW(Fichier_initial))+1),COLUMNS($A92:G92))),"")</f>
        <v/>
      </c>
      <c r="K92" s="39">
        <f t="array" ref="K92">IFERROR(INDEX(Temps_Total,SMALL(IF(Id_Impression=$A92,ROW(Temps_Total)-MIN(ROW(Temps_Total))+1),COLUMNS($A$3:A92))),"")</f>
        <v>8.0555555555555561E-2</v>
      </c>
      <c r="L92" s="39">
        <f t="array" ref="L92">IFERROR(INDEX(Temps_Total,SMALL(IF(Id_Impression=$A92,ROW(Temps_Total)-MIN(ROW(Temps_Total))+1),COLUMNS($A$3:B92))),"")</f>
        <v>8.0555555555555561E-2</v>
      </c>
      <c r="M92" s="39" t="str">
        <f t="array" ref="M92">IFERROR(INDEX(Temps_Total,SMALL(IF(Id_Impression=$A92,ROW(Temps_Total)-MIN(ROW(Temps_Total))+1),COLUMNS($A$3:C92))),"")</f>
        <v/>
      </c>
      <c r="N92" s="39" t="str">
        <f t="array" ref="N92">IFERROR(INDEX(Temps_Total,SMALL(IF(Id_Impression=$A92,ROW(Temps_Total)-MIN(ROW(Temps_Total))+1),COLUMNS($A$3:D92))),"")</f>
        <v/>
      </c>
      <c r="O92" s="39" t="str">
        <f t="array" ref="O92">IFERROR(INDEX(Temps_Total,SMALL(IF(Id_Impression=$A92,ROW(Temps_Total)-MIN(ROW(Temps_Total))+1),COLUMNS($A$3:E92))),"")</f>
        <v/>
      </c>
      <c r="P92" s="39" t="str">
        <f t="array" ref="P92">IFERROR(INDEX(Temps_Total,SMALL(IF(Id_Impression=$A92,ROW(Temps_Total)-MIN(ROW(Temps_Total))+1),COLUMNS($A$3:F92))),"")</f>
        <v/>
      </c>
      <c r="Q92" s="39" t="str">
        <f t="array" ref="Q92">IFERROR(INDEX(Temps_Total,SMALL(IF(Id_Impression=$A92,ROW(Temps_Total)-MIN(ROW(Temps_Total))+1),COLUMNS($A$3:G92))),"")</f>
        <v/>
      </c>
      <c r="R92" s="38">
        <f t="array" ref="R92">IFERROR(INDEX(Quantité_à_imprimer_12_2017,SMALL(IF(Id_Impression=$A92,ROW(Quantité_à_imprimer_12_2017)-MIN(ROW(Quantité_à_imprimer_12_2017))+1),COLUMNS($A$3:A92))),"")</f>
        <v>1</v>
      </c>
      <c r="S92" s="38">
        <f t="array" ref="S92">IFERROR(INDEX(Quantité_à_imprimer_12_2017,SMALL(IF(Id_Impression=$A92,ROW(Quantité_à_imprimer_12_2017)-MIN(ROW(Quantité_à_imprimer_12_2017))+1),COLUMNS($A$3:B92))),"")</f>
        <v>1</v>
      </c>
      <c r="T92" s="38" t="str">
        <f t="array" ref="T92">IFERROR(INDEX(Quantité_à_imprimer_12_2017,SMALL(IF(Id_Impression=$A92,ROW(Quantité_à_imprimer_12_2017)-MIN(ROW(Quantité_à_imprimer_12_2017))+1),COLUMNS($A$3:C92))),"")</f>
        <v/>
      </c>
      <c r="U92" s="38" t="str">
        <f t="array" ref="U92">IFERROR(INDEX(Quantité_à_imprimer_12_2017,SMALL(IF(Id_Impression=$A92,ROW(Quantité_à_imprimer_12_2017)-MIN(ROW(Quantité_à_imprimer_12_2017))+1),COLUMNS($A$3:D92))),"")</f>
        <v/>
      </c>
      <c r="V92" s="38" t="str">
        <f t="array" ref="V92">IFERROR(INDEX(Quantité_à_imprimer_12_2017,SMALL(IF(Id_Impression=$A92,ROW(Quantité_à_imprimer_12_2017)-MIN(ROW(Quantité_à_imprimer_12_2017))+1),COLUMNS($A$3:E92))),"")</f>
        <v/>
      </c>
      <c r="W92" s="38" t="str">
        <f t="array" ref="W92">IFERROR(INDEX(Quantité_à_imprimer_12_2017,SMALL(IF(Id_Impression=$A92,ROW(Quantité_à_imprimer_12_2017)-MIN(ROW(Quantité_à_imprimer_12_2017))+1),COLUMNS($A$3:F92))),"")</f>
        <v/>
      </c>
      <c r="X92" s="38" t="str">
        <f t="array" ref="X92">IFERROR(INDEX(Quantité_à_imprimer_12_2017,SMALL(IF(Id_Impression=$A92,ROW(Quantité_à_imprimer_12_2017)-MIN(ROW(Quantité_à_imprimer_12_2017))+1),COLUMNS($A$3:G92))),"")</f>
        <v/>
      </c>
    </row>
    <row r="93" spans="1:24" x14ac:dyDescent="0.55000000000000004">
      <c r="A93" s="40">
        <v>92</v>
      </c>
      <c r="B93" s="36">
        <f t="shared" si="1"/>
        <v>0.1076388888888889</v>
      </c>
      <c r="C93" s="37">
        <v>4</v>
      </c>
      <c r="D93" s="38" t="str">
        <f t="array" ref="D93">IFERROR(INDEX(Fichier_initial,SMALL(IF(Id_Impression=$A93,ROW(Fichier_initial)-MIN(ROW(Fichier_initial))+1),COLUMNS($A93:A93))),"")</f>
        <v>EyeHolderV1</v>
      </c>
      <c r="E93" s="38" t="str">
        <f t="array" ref="E93">IFERROR(INDEX(Fichier_initial,SMALL(IF(Id_Impression=$A93,ROW(Fichier_initial)-MIN(ROW(Fichier_initial))+1),COLUMNS($A93:B93))),"")</f>
        <v>EyeHingeCurveV1</v>
      </c>
      <c r="F93" s="38" t="str">
        <f t="array" ref="F93">IFERROR(INDEX(Fichier_initial,SMALL(IF(Id_Impression=$A93,ROW(Fichier_initial)-MIN(ROW(Fichier_initial))+1),COLUMNS($A93:C93))),"")</f>
        <v>EyePlateLeftV1</v>
      </c>
      <c r="G93" s="38" t="str">
        <f t="array" ref="G93">IFERROR(INDEX(Fichier_initial,SMALL(IF(Id_Impression=$A93,ROW(Fichier_initial)-MIN(ROW(Fichier_initial))+1),COLUMNS($A93:D93))),"")</f>
        <v>Speaker1</v>
      </c>
      <c r="H93" s="38" t="str">
        <f t="array" ref="H93">IFERROR(INDEX(Fichier_initial,SMALL(IF(Id_Impression=$A93,ROW(Fichier_initial)-MIN(ROW(Fichier_initial))+1),COLUMNS($A93:E93))),"")</f>
        <v/>
      </c>
      <c r="I93" s="38" t="str">
        <f t="array" ref="I93">IFERROR(INDEX(Fichier_initial,SMALL(IF(Id_Impression=$A93,ROW(Fichier_initial)-MIN(ROW(Fichier_initial))+1),COLUMNS($A93:F93))),"")</f>
        <v/>
      </c>
      <c r="J93" s="38" t="str">
        <f t="array" ref="J93">IFERROR(INDEX(Fichier_initial,SMALL(IF(Id_Impression=$A93,ROW(Fichier_initial)-MIN(ROW(Fichier_initial))+1),COLUMNS($A93:G93))),"")</f>
        <v/>
      </c>
      <c r="K93" s="39">
        <f t="array" ref="K93">IFERROR(INDEX(Temps_Total,SMALL(IF(Id_Impression=$A93,ROW(Temps_Total)-MIN(ROW(Temps_Total))+1),COLUMNS($A$3:A93))),"")</f>
        <v>4.8611111111111112E-3</v>
      </c>
      <c r="L93" s="39">
        <f t="array" ref="L93">IFERROR(INDEX(Temps_Total,SMALL(IF(Id_Impression=$A93,ROW(Temps_Total)-MIN(ROW(Temps_Total))+1),COLUMNS($A$3:B93))),"")</f>
        <v>7.6388888888888886E-3</v>
      </c>
      <c r="M93" s="39">
        <f t="array" ref="M93">IFERROR(INDEX(Temps_Total,SMALL(IF(Id_Impression=$A93,ROW(Temps_Total)-MIN(ROW(Temps_Total))+1),COLUMNS($A$3:C93))),"")</f>
        <v>1.3888888888888888E-2</v>
      </c>
      <c r="N93" s="39">
        <f t="array" ref="N93">IFERROR(INDEX(Temps_Total,SMALL(IF(Id_Impression=$A93,ROW(Temps_Total)-MIN(ROW(Temps_Total))+1),COLUMNS($A$3:D93))),"")</f>
        <v>8.1250000000000003E-2</v>
      </c>
      <c r="O93" s="39" t="str">
        <f t="array" ref="O93">IFERROR(INDEX(Temps_Total,SMALL(IF(Id_Impression=$A93,ROW(Temps_Total)-MIN(ROW(Temps_Total))+1),COLUMNS($A$3:E93))),"")</f>
        <v/>
      </c>
      <c r="P93" s="39" t="str">
        <f t="array" ref="P93">IFERROR(INDEX(Temps_Total,SMALL(IF(Id_Impression=$A93,ROW(Temps_Total)-MIN(ROW(Temps_Total))+1),COLUMNS($A$3:F93))),"")</f>
        <v/>
      </c>
      <c r="Q93" s="39" t="str">
        <f t="array" ref="Q93">IFERROR(INDEX(Temps_Total,SMALL(IF(Id_Impression=$A93,ROW(Temps_Total)-MIN(ROW(Temps_Total))+1),COLUMNS($A$3:G93))),"")</f>
        <v/>
      </c>
      <c r="R93" s="38">
        <f t="array" ref="R93">IFERROR(INDEX(Quantité_à_imprimer_12_2017,SMALL(IF(Id_Impression=$A93,ROW(Quantité_à_imprimer_12_2017)-MIN(ROW(Quantité_à_imprimer_12_2017))+1),COLUMNS($A$3:A93))),"")</f>
        <v>1</v>
      </c>
      <c r="S93" s="38">
        <f t="array" ref="S93">IFERROR(INDEX(Quantité_à_imprimer_12_2017,SMALL(IF(Id_Impression=$A93,ROW(Quantité_à_imprimer_12_2017)-MIN(ROW(Quantité_à_imprimer_12_2017))+1),COLUMNS($A$3:B93))),"")</f>
        <v>1</v>
      </c>
      <c r="T93" s="38">
        <f t="array" ref="T93">IFERROR(INDEX(Quantité_à_imprimer_12_2017,SMALL(IF(Id_Impression=$A93,ROW(Quantité_à_imprimer_12_2017)-MIN(ROW(Quantité_à_imprimer_12_2017))+1),COLUMNS($A$3:C93))),"")</f>
        <v>1</v>
      </c>
      <c r="U93" s="38">
        <f t="array" ref="U93">IFERROR(INDEX(Quantité_à_imprimer_12_2017,SMALL(IF(Id_Impression=$A93,ROW(Quantité_à_imprimer_12_2017)-MIN(ROW(Quantité_à_imprimer_12_2017))+1),COLUMNS($A$3:D93))),"")</f>
        <v>1</v>
      </c>
      <c r="V93" s="38" t="str">
        <f t="array" ref="V93">IFERROR(INDEX(Quantité_à_imprimer_12_2017,SMALL(IF(Id_Impression=$A93,ROW(Quantité_à_imprimer_12_2017)-MIN(ROW(Quantité_à_imprimer_12_2017))+1),COLUMNS($A$3:E93))),"")</f>
        <v/>
      </c>
      <c r="W93" s="38" t="str">
        <f t="array" ref="W93">IFERROR(INDEX(Quantité_à_imprimer_12_2017,SMALL(IF(Id_Impression=$A93,ROW(Quantité_à_imprimer_12_2017)-MIN(ROW(Quantité_à_imprimer_12_2017))+1),COLUMNS($A$3:F93))),"")</f>
        <v/>
      </c>
      <c r="X93" s="38" t="str">
        <f t="array" ref="X93">IFERROR(INDEX(Quantité_à_imprimer_12_2017,SMALL(IF(Id_Impression=$A93,ROW(Quantité_à_imprimer_12_2017)-MIN(ROW(Quantité_à_imprimer_12_2017))+1),COLUMNS($A$3:G93))),"")</f>
        <v/>
      </c>
    </row>
    <row r="94" spans="1:24" x14ac:dyDescent="0.55000000000000004">
      <c r="A94" s="40">
        <v>93</v>
      </c>
      <c r="B94" s="36">
        <f t="shared" si="1"/>
        <v>0.17708333333333334</v>
      </c>
      <c r="C94" s="37">
        <v>5</v>
      </c>
      <c r="D94" s="38" t="str">
        <f t="array" ref="D94">IFERROR(INDEX(Fichier_initial,SMALL(IF(Id_Impression=$A94,ROW(Fichier_initial)-MIN(ROW(Fichier_initial))+1),COLUMNS($A94:A94))),"")</f>
        <v>EyePlateRightV1</v>
      </c>
      <c r="E94" s="38" t="str">
        <f t="array" ref="E94">IFERROR(INDEX(Fichier_initial,SMALL(IF(Id_Impression=$A94,ROW(Fichier_initial)-MIN(ROW(Fichier_initial))+1),COLUMNS($A94:B94))),"")</f>
        <v>EyeHingeV2</v>
      </c>
      <c r="F94" s="38" t="str">
        <f t="array" ref="F94">IFERROR(INDEX(Fichier_initial,SMALL(IF(Id_Impression=$A94,ROW(Fichier_initial)-MIN(ROW(Fichier_initial))+1),COLUMNS($A94:C94))),"")</f>
        <v>EyeTo NoseV5</v>
      </c>
      <c r="G94" s="38" t="str">
        <f t="array" ref="G94">IFERROR(INDEX(Fichier_initial,SMALL(IF(Id_Impression=$A94,ROW(Fichier_initial)-MIN(ROW(Fichier_initial))+1),COLUMNS($A94:D94))),"")</f>
        <v>2xEyeBallFullV2</v>
      </c>
      <c r="H94" s="38" t="str">
        <f t="array" ref="H94">IFERROR(INDEX(Fichier_initial,SMALL(IF(Id_Impression=$A94,ROW(Fichier_initial)-MIN(ROW(Fichier_initial))+1),COLUMNS($A94:E94))),"")</f>
        <v>SpeakerSpacer1</v>
      </c>
      <c r="I94" s="38" t="str">
        <f t="array" ref="I94">IFERROR(INDEX(Fichier_initial,SMALL(IF(Id_Impression=$A94,ROW(Fichier_initial)-MIN(ROW(Fichier_initial))+1),COLUMNS($A94:F94))),"")</f>
        <v/>
      </c>
      <c r="J94" s="38" t="str">
        <f t="array" ref="J94">IFERROR(INDEX(Fichier_initial,SMALL(IF(Id_Impression=$A94,ROW(Fichier_initial)-MIN(ROW(Fichier_initial))+1),COLUMNS($A94:G94))),"")</f>
        <v/>
      </c>
      <c r="K94" s="39">
        <f t="array" ref="K94">IFERROR(INDEX(Temps_Total,SMALL(IF(Id_Impression=$A94,ROW(Temps_Total)-MIN(ROW(Temps_Total))+1),COLUMNS($A$3:A94))),"")</f>
        <v>1.3888888888888888E-2</v>
      </c>
      <c r="L94" s="39">
        <f t="array" ref="L94">IFERROR(INDEX(Temps_Total,SMALL(IF(Id_Impression=$A94,ROW(Temps_Total)-MIN(ROW(Temps_Total))+1),COLUMNS($A$3:B94))),"")</f>
        <v>2.0833333333333332E-2</v>
      </c>
      <c r="M94" s="39">
        <f t="array" ref="M94">IFERROR(INDEX(Temps_Total,SMALL(IF(Id_Impression=$A94,ROW(Temps_Total)-MIN(ROW(Temps_Total))+1),COLUMNS($A$3:C94))),"")</f>
        <v>3.4027777777777775E-2</v>
      </c>
      <c r="N94" s="39">
        <f t="array" ref="N94">IFERROR(INDEX(Temps_Total,SMALL(IF(Id_Impression=$A94,ROW(Temps_Total)-MIN(ROW(Temps_Total))+1),COLUMNS($A$3:D94))),"")</f>
        <v>9.1666666666666674E-2</v>
      </c>
      <c r="O94" s="39">
        <f t="array" ref="O94">IFERROR(INDEX(Temps_Total,SMALL(IF(Id_Impression=$A94,ROW(Temps_Total)-MIN(ROW(Temps_Total))+1),COLUMNS($A$3:E94))),"")</f>
        <v>1.6666666666666666E-2</v>
      </c>
      <c r="P94" s="39" t="str">
        <f t="array" ref="P94">IFERROR(INDEX(Temps_Total,SMALL(IF(Id_Impression=$A94,ROW(Temps_Total)-MIN(ROW(Temps_Total))+1),COLUMNS($A$3:F94))),"")</f>
        <v/>
      </c>
      <c r="Q94" s="39" t="str">
        <f t="array" ref="Q94">IFERROR(INDEX(Temps_Total,SMALL(IF(Id_Impression=$A94,ROW(Temps_Total)-MIN(ROW(Temps_Total))+1),COLUMNS($A$3:G94))),"")</f>
        <v/>
      </c>
      <c r="R94" s="38">
        <f t="array" ref="R94">IFERROR(INDEX(Quantité_à_imprimer_12_2017,SMALL(IF(Id_Impression=$A94,ROW(Quantité_à_imprimer_12_2017)-MIN(ROW(Quantité_à_imprimer_12_2017))+1),COLUMNS($A$3:A94))),"")</f>
        <v>1</v>
      </c>
      <c r="S94" s="38">
        <f t="array" ref="S94">IFERROR(INDEX(Quantité_à_imprimer_12_2017,SMALL(IF(Id_Impression=$A94,ROW(Quantité_à_imprimer_12_2017)-MIN(ROW(Quantité_à_imprimer_12_2017))+1),COLUMNS($A$3:B94))),"")</f>
        <v>2</v>
      </c>
      <c r="T94" s="38">
        <f t="array" ref="T94">IFERROR(INDEX(Quantité_à_imprimer_12_2017,SMALL(IF(Id_Impression=$A94,ROW(Quantité_à_imprimer_12_2017)-MIN(ROW(Quantité_à_imprimer_12_2017))+1),COLUMNS($A$3:C94))),"")</f>
        <v>1</v>
      </c>
      <c r="U94" s="38">
        <f t="array" ref="U94">IFERROR(INDEX(Quantité_à_imprimer_12_2017,SMALL(IF(Id_Impression=$A94,ROW(Quantité_à_imprimer_12_2017)-MIN(ROW(Quantité_à_imprimer_12_2017))+1),COLUMNS($A$3:D94))),"")</f>
        <v>1</v>
      </c>
      <c r="V94" s="38">
        <f t="array" ref="V94">IFERROR(INDEX(Quantité_à_imprimer_12_2017,SMALL(IF(Id_Impression=$A94,ROW(Quantité_à_imprimer_12_2017)-MIN(ROW(Quantité_à_imprimer_12_2017))+1),COLUMNS($A$3:E94))),"")</f>
        <v>1</v>
      </c>
      <c r="W94" s="38" t="str">
        <f t="array" ref="W94">IFERROR(INDEX(Quantité_à_imprimer_12_2017,SMALL(IF(Id_Impression=$A94,ROW(Quantité_à_imprimer_12_2017)-MIN(ROW(Quantité_à_imprimer_12_2017))+1),COLUMNS($A$3:F94))),"")</f>
        <v/>
      </c>
      <c r="X94" s="38" t="str">
        <f t="array" ref="X94">IFERROR(INDEX(Quantité_à_imprimer_12_2017,SMALL(IF(Id_Impression=$A94,ROW(Quantité_à_imprimer_12_2017)-MIN(ROW(Quantité_à_imprimer_12_2017))+1),COLUMNS($A$3:G94))),"")</f>
        <v/>
      </c>
    </row>
    <row r="95" spans="1:24" x14ac:dyDescent="0.55000000000000004">
      <c r="A95" s="40">
        <v>94</v>
      </c>
      <c r="B95" s="36">
        <f t="shared" si="1"/>
        <v>0.17222222222222225</v>
      </c>
      <c r="C95" s="37">
        <v>1</v>
      </c>
      <c r="D95" s="38" t="str">
        <f t="array" ref="D95">IFERROR(INDEX(Fichier_initial,SMALL(IF(Id_Impression=$A95,ROW(Fichier_initial)-MIN(ROW(Fichier_initial))+1),COLUMNS($A95:A95))),"")</f>
        <v>EarSpeakerLeftV1</v>
      </c>
      <c r="E95" s="38" t="str">
        <f t="array" ref="E95">IFERROR(INDEX(Fichier_initial,SMALL(IF(Id_Impression=$A95,ROW(Fichier_initial)-MIN(ROW(Fichier_initial))+1),COLUMNS($A95:B95))),"")</f>
        <v/>
      </c>
      <c r="F95" s="38" t="str">
        <f t="array" ref="F95">IFERROR(INDEX(Fichier_initial,SMALL(IF(Id_Impression=$A95,ROW(Fichier_initial)-MIN(ROW(Fichier_initial))+1),COLUMNS($A95:C95))),"")</f>
        <v/>
      </c>
      <c r="G95" s="38" t="str">
        <f t="array" ref="G95">IFERROR(INDEX(Fichier_initial,SMALL(IF(Id_Impression=$A95,ROW(Fichier_initial)-MIN(ROW(Fichier_initial))+1),COLUMNS($A95:D95))),"")</f>
        <v/>
      </c>
      <c r="H95" s="38" t="str">
        <f t="array" ref="H95">IFERROR(INDEX(Fichier_initial,SMALL(IF(Id_Impression=$A95,ROW(Fichier_initial)-MIN(ROW(Fichier_initial))+1),COLUMNS($A95:E95))),"")</f>
        <v/>
      </c>
      <c r="I95" s="38" t="str">
        <f t="array" ref="I95">IFERROR(INDEX(Fichier_initial,SMALL(IF(Id_Impression=$A95,ROW(Fichier_initial)-MIN(ROW(Fichier_initial))+1),COLUMNS($A95:F95))),"")</f>
        <v/>
      </c>
      <c r="J95" s="38" t="str">
        <f t="array" ref="J95">IFERROR(INDEX(Fichier_initial,SMALL(IF(Id_Impression=$A95,ROW(Fichier_initial)-MIN(ROW(Fichier_initial))+1),COLUMNS($A95:G95))),"")</f>
        <v/>
      </c>
      <c r="K95" s="39">
        <f t="array" ref="K95">IFERROR(INDEX(Temps_Total,SMALL(IF(Id_Impression=$A95,ROW(Temps_Total)-MIN(ROW(Temps_Total))+1),COLUMNS($A$3:A95))),"")</f>
        <v>0.17222222222222225</v>
      </c>
      <c r="L95" s="39" t="str">
        <f t="array" ref="L95">IFERROR(INDEX(Temps_Total,SMALL(IF(Id_Impression=$A95,ROW(Temps_Total)-MIN(ROW(Temps_Total))+1),COLUMNS($A$3:B95))),"")</f>
        <v/>
      </c>
      <c r="M95" s="39" t="str">
        <f t="array" ref="M95">IFERROR(INDEX(Temps_Total,SMALL(IF(Id_Impression=$A95,ROW(Temps_Total)-MIN(ROW(Temps_Total))+1),COLUMNS($A$3:C95))),"")</f>
        <v/>
      </c>
      <c r="N95" s="39" t="str">
        <f t="array" ref="N95">IFERROR(INDEX(Temps_Total,SMALL(IF(Id_Impression=$A95,ROW(Temps_Total)-MIN(ROW(Temps_Total))+1),COLUMNS($A$3:D95))),"")</f>
        <v/>
      </c>
      <c r="O95" s="39" t="str">
        <f t="array" ref="O95">IFERROR(INDEX(Temps_Total,SMALL(IF(Id_Impression=$A95,ROW(Temps_Total)-MIN(ROW(Temps_Total))+1),COLUMNS($A$3:E95))),"")</f>
        <v/>
      </c>
      <c r="P95" s="39" t="str">
        <f t="array" ref="P95">IFERROR(INDEX(Temps_Total,SMALL(IF(Id_Impression=$A95,ROW(Temps_Total)-MIN(ROW(Temps_Total))+1),COLUMNS($A$3:F95))),"")</f>
        <v/>
      </c>
      <c r="Q95" s="39" t="str">
        <f t="array" ref="Q95">IFERROR(INDEX(Temps_Total,SMALL(IF(Id_Impression=$A95,ROW(Temps_Total)-MIN(ROW(Temps_Total))+1),COLUMNS($A$3:G95))),"")</f>
        <v/>
      </c>
      <c r="R95" s="38">
        <f t="array" ref="R95">IFERROR(INDEX(Quantité_à_imprimer_12_2017,SMALL(IF(Id_Impression=$A95,ROW(Quantité_à_imprimer_12_2017)-MIN(ROW(Quantité_à_imprimer_12_2017))+1),COLUMNS($A$3:A95))),"")</f>
        <v>1</v>
      </c>
      <c r="S95" s="38" t="str">
        <f t="array" ref="S95">IFERROR(INDEX(Quantité_à_imprimer_12_2017,SMALL(IF(Id_Impression=$A95,ROW(Quantité_à_imprimer_12_2017)-MIN(ROW(Quantité_à_imprimer_12_2017))+1),COLUMNS($A$3:B95))),"")</f>
        <v/>
      </c>
      <c r="T95" s="38" t="str">
        <f t="array" ref="T95">IFERROR(INDEX(Quantité_à_imprimer_12_2017,SMALL(IF(Id_Impression=$A95,ROW(Quantité_à_imprimer_12_2017)-MIN(ROW(Quantité_à_imprimer_12_2017))+1),COLUMNS($A$3:C95))),"")</f>
        <v/>
      </c>
      <c r="U95" s="38" t="str">
        <f t="array" ref="U95">IFERROR(INDEX(Quantité_à_imprimer_12_2017,SMALL(IF(Id_Impression=$A95,ROW(Quantité_à_imprimer_12_2017)-MIN(ROW(Quantité_à_imprimer_12_2017))+1),COLUMNS($A$3:D95))),"")</f>
        <v/>
      </c>
      <c r="V95" s="38" t="str">
        <f t="array" ref="V95">IFERROR(INDEX(Quantité_à_imprimer_12_2017,SMALL(IF(Id_Impression=$A95,ROW(Quantité_à_imprimer_12_2017)-MIN(ROW(Quantité_à_imprimer_12_2017))+1),COLUMNS($A$3:E95))),"")</f>
        <v/>
      </c>
      <c r="W95" s="38" t="str">
        <f t="array" ref="W95">IFERROR(INDEX(Quantité_à_imprimer_12_2017,SMALL(IF(Id_Impression=$A95,ROW(Quantité_à_imprimer_12_2017)-MIN(ROW(Quantité_à_imprimer_12_2017))+1),COLUMNS($A$3:F95))),"")</f>
        <v/>
      </c>
      <c r="X95" s="38" t="str">
        <f t="array" ref="X95">IFERROR(INDEX(Quantité_à_imprimer_12_2017,SMALL(IF(Id_Impression=$A95,ROW(Quantité_à_imprimer_12_2017)-MIN(ROW(Quantité_à_imprimer_12_2017))+1),COLUMNS($A$3:G95))),"")</f>
        <v/>
      </c>
    </row>
    <row r="96" spans="1:24" x14ac:dyDescent="0.55000000000000004">
      <c r="A96" s="40">
        <v>95</v>
      </c>
      <c r="B96" s="36">
        <f t="shared" si="1"/>
        <v>0.17222222222222225</v>
      </c>
      <c r="C96" s="37">
        <v>1</v>
      </c>
      <c r="D96" s="38" t="str">
        <f t="array" ref="D96">IFERROR(INDEX(Fichier_initial,SMALL(IF(Id_Impression=$A96,ROW(Fichier_initial)-MIN(ROW(Fichier_initial))+1),COLUMNS($A96:A96))),"")</f>
        <v>EarSpeakerRightV1</v>
      </c>
      <c r="E96" s="38" t="str">
        <f t="array" ref="E96">IFERROR(INDEX(Fichier_initial,SMALL(IF(Id_Impression=$A96,ROW(Fichier_initial)-MIN(ROW(Fichier_initial))+1),COLUMNS($A96:B96))),"")</f>
        <v/>
      </c>
      <c r="F96" s="38" t="str">
        <f t="array" ref="F96">IFERROR(INDEX(Fichier_initial,SMALL(IF(Id_Impression=$A96,ROW(Fichier_initial)-MIN(ROW(Fichier_initial))+1),COLUMNS($A96:C96))),"")</f>
        <v/>
      </c>
      <c r="G96" s="38" t="str">
        <f t="array" ref="G96">IFERROR(INDEX(Fichier_initial,SMALL(IF(Id_Impression=$A96,ROW(Fichier_initial)-MIN(ROW(Fichier_initial))+1),COLUMNS($A96:D96))),"")</f>
        <v/>
      </c>
      <c r="H96" s="38" t="str">
        <f t="array" ref="H96">IFERROR(INDEX(Fichier_initial,SMALL(IF(Id_Impression=$A96,ROW(Fichier_initial)-MIN(ROW(Fichier_initial))+1),COLUMNS($A96:E96))),"")</f>
        <v/>
      </c>
      <c r="I96" s="38" t="str">
        <f t="array" ref="I96">IFERROR(INDEX(Fichier_initial,SMALL(IF(Id_Impression=$A96,ROW(Fichier_initial)-MIN(ROW(Fichier_initial))+1),COLUMNS($A96:F96))),"")</f>
        <v/>
      </c>
      <c r="J96" s="38" t="str">
        <f t="array" ref="J96">IFERROR(INDEX(Fichier_initial,SMALL(IF(Id_Impression=$A96,ROW(Fichier_initial)-MIN(ROW(Fichier_initial))+1),COLUMNS($A96:G96))),"")</f>
        <v/>
      </c>
      <c r="K96" s="39">
        <f t="array" ref="K96">IFERROR(INDEX(Temps_Total,SMALL(IF(Id_Impression=$A96,ROW(Temps_Total)-MIN(ROW(Temps_Total))+1),COLUMNS($A$3:A96))),"")</f>
        <v>0.17222222222222225</v>
      </c>
      <c r="L96" s="39" t="str">
        <f t="array" ref="L96">IFERROR(INDEX(Temps_Total,SMALL(IF(Id_Impression=$A96,ROW(Temps_Total)-MIN(ROW(Temps_Total))+1),COLUMNS($A$3:B96))),"")</f>
        <v/>
      </c>
      <c r="M96" s="39" t="str">
        <f t="array" ref="M96">IFERROR(INDEX(Temps_Total,SMALL(IF(Id_Impression=$A96,ROW(Temps_Total)-MIN(ROW(Temps_Total))+1),COLUMNS($A$3:C96))),"")</f>
        <v/>
      </c>
      <c r="N96" s="39" t="str">
        <f t="array" ref="N96">IFERROR(INDEX(Temps_Total,SMALL(IF(Id_Impression=$A96,ROW(Temps_Total)-MIN(ROW(Temps_Total))+1),COLUMNS($A$3:D96))),"")</f>
        <v/>
      </c>
      <c r="O96" s="39" t="str">
        <f t="array" ref="O96">IFERROR(INDEX(Temps_Total,SMALL(IF(Id_Impression=$A96,ROW(Temps_Total)-MIN(ROW(Temps_Total))+1),COLUMNS($A$3:E96))),"")</f>
        <v/>
      </c>
      <c r="P96" s="39" t="str">
        <f t="array" ref="P96">IFERROR(INDEX(Temps_Total,SMALL(IF(Id_Impression=$A96,ROW(Temps_Total)-MIN(ROW(Temps_Total))+1),COLUMNS($A$3:F96))),"")</f>
        <v/>
      </c>
      <c r="Q96" s="39" t="str">
        <f t="array" ref="Q96">IFERROR(INDEX(Temps_Total,SMALL(IF(Id_Impression=$A96,ROW(Temps_Total)-MIN(ROW(Temps_Total))+1),COLUMNS($A$3:G96))),"")</f>
        <v/>
      </c>
      <c r="R96" s="38">
        <f t="array" ref="R96">IFERROR(INDEX(Quantité_à_imprimer_12_2017,SMALL(IF(Id_Impression=$A96,ROW(Quantité_à_imprimer_12_2017)-MIN(ROW(Quantité_à_imprimer_12_2017))+1),COLUMNS($A$3:A96))),"")</f>
        <v>1</v>
      </c>
      <c r="S96" s="38" t="str">
        <f t="array" ref="S96">IFERROR(INDEX(Quantité_à_imprimer_12_2017,SMALL(IF(Id_Impression=$A96,ROW(Quantité_à_imprimer_12_2017)-MIN(ROW(Quantité_à_imprimer_12_2017))+1),COLUMNS($A$3:B96))),"")</f>
        <v/>
      </c>
      <c r="T96" s="38" t="str">
        <f t="array" ref="T96">IFERROR(INDEX(Quantité_à_imprimer_12_2017,SMALL(IF(Id_Impression=$A96,ROW(Quantité_à_imprimer_12_2017)-MIN(ROW(Quantité_à_imprimer_12_2017))+1),COLUMNS($A$3:C96))),"")</f>
        <v/>
      </c>
      <c r="U96" s="38" t="str">
        <f t="array" ref="U96">IFERROR(INDEX(Quantité_à_imprimer_12_2017,SMALL(IF(Id_Impression=$A96,ROW(Quantité_à_imprimer_12_2017)-MIN(ROW(Quantité_à_imprimer_12_2017))+1),COLUMNS($A$3:D96))),"")</f>
        <v/>
      </c>
      <c r="V96" s="38" t="str">
        <f t="array" ref="V96">IFERROR(INDEX(Quantité_à_imprimer_12_2017,SMALL(IF(Id_Impression=$A96,ROW(Quantité_à_imprimer_12_2017)-MIN(ROW(Quantité_à_imprimer_12_2017))+1),COLUMNS($A$3:E96))),"")</f>
        <v/>
      </c>
      <c r="W96" s="38" t="str">
        <f t="array" ref="W96">IFERROR(INDEX(Quantité_à_imprimer_12_2017,SMALL(IF(Id_Impression=$A96,ROW(Quantité_à_imprimer_12_2017)-MIN(ROW(Quantité_à_imprimer_12_2017))+1),COLUMNS($A$3:F96))),"")</f>
        <v/>
      </c>
      <c r="X96" s="38" t="str">
        <f t="array" ref="X96">IFERROR(INDEX(Quantité_à_imprimer_12_2017,SMALL(IF(Id_Impression=$A96,ROW(Quantité_à_imprimer_12_2017)-MIN(ROW(Quantité_à_imprimer_12_2017))+1),COLUMNS($A$3:G96))),"")</f>
        <v/>
      </c>
    </row>
    <row r="97" spans="1:24" x14ac:dyDescent="0.55000000000000004">
      <c r="A97" s="40">
        <v>96</v>
      </c>
      <c r="B97" s="36">
        <f t="shared" si="1"/>
        <v>0.17430555555555557</v>
      </c>
      <c r="C97" s="37">
        <v>1</v>
      </c>
      <c r="D97" s="38" t="str">
        <f t="array" ref="D97">IFERROR(INDEX(Fichier_initial,SMALL(IF(Id_Impression=$A97,ROW(Fichier_initial)-MIN(ROW(Fichier_initial))+1),COLUMNS($A97:A97))),"")</f>
        <v>EarLeftV1</v>
      </c>
      <c r="E97" s="38" t="str">
        <f t="array" ref="E97">IFERROR(INDEX(Fichier_initial,SMALL(IF(Id_Impression=$A97,ROW(Fichier_initial)-MIN(ROW(Fichier_initial))+1),COLUMNS($A97:B97))),"")</f>
        <v/>
      </c>
      <c r="F97" s="38" t="str">
        <f t="array" ref="F97">IFERROR(INDEX(Fichier_initial,SMALL(IF(Id_Impression=$A97,ROW(Fichier_initial)-MIN(ROW(Fichier_initial))+1),COLUMNS($A97:C97))),"")</f>
        <v/>
      </c>
      <c r="G97" s="38" t="str">
        <f t="array" ref="G97">IFERROR(INDEX(Fichier_initial,SMALL(IF(Id_Impression=$A97,ROW(Fichier_initial)-MIN(ROW(Fichier_initial))+1),COLUMNS($A97:D97))),"")</f>
        <v/>
      </c>
      <c r="H97" s="38" t="str">
        <f t="array" ref="H97">IFERROR(INDEX(Fichier_initial,SMALL(IF(Id_Impression=$A97,ROW(Fichier_initial)-MIN(ROW(Fichier_initial))+1),COLUMNS($A97:E97))),"")</f>
        <v/>
      </c>
      <c r="I97" s="38" t="str">
        <f t="array" ref="I97">IFERROR(INDEX(Fichier_initial,SMALL(IF(Id_Impression=$A97,ROW(Fichier_initial)-MIN(ROW(Fichier_initial))+1),COLUMNS($A97:F97))),"")</f>
        <v/>
      </c>
      <c r="J97" s="38" t="str">
        <f t="array" ref="J97">IFERROR(INDEX(Fichier_initial,SMALL(IF(Id_Impression=$A97,ROW(Fichier_initial)-MIN(ROW(Fichier_initial))+1),COLUMNS($A97:G97))),"")</f>
        <v/>
      </c>
      <c r="K97" s="39">
        <f t="array" ref="K97">IFERROR(INDEX(Temps_Total,SMALL(IF(Id_Impression=$A97,ROW(Temps_Total)-MIN(ROW(Temps_Total))+1),COLUMNS($A$3:A97))),"")</f>
        <v>0.17430555555555557</v>
      </c>
      <c r="L97" s="39" t="str">
        <f t="array" ref="L97">IFERROR(INDEX(Temps_Total,SMALL(IF(Id_Impression=$A97,ROW(Temps_Total)-MIN(ROW(Temps_Total))+1),COLUMNS($A$3:B97))),"")</f>
        <v/>
      </c>
      <c r="M97" s="39" t="str">
        <f t="array" ref="M97">IFERROR(INDEX(Temps_Total,SMALL(IF(Id_Impression=$A97,ROW(Temps_Total)-MIN(ROW(Temps_Total))+1),COLUMNS($A$3:C97))),"")</f>
        <v/>
      </c>
      <c r="N97" s="39" t="str">
        <f t="array" ref="N97">IFERROR(INDEX(Temps_Total,SMALL(IF(Id_Impression=$A97,ROW(Temps_Total)-MIN(ROW(Temps_Total))+1),COLUMNS($A$3:D97))),"")</f>
        <v/>
      </c>
      <c r="O97" s="39" t="str">
        <f t="array" ref="O97">IFERROR(INDEX(Temps_Total,SMALL(IF(Id_Impression=$A97,ROW(Temps_Total)-MIN(ROW(Temps_Total))+1),COLUMNS($A$3:E97))),"")</f>
        <v/>
      </c>
      <c r="P97" s="39" t="str">
        <f t="array" ref="P97">IFERROR(INDEX(Temps_Total,SMALL(IF(Id_Impression=$A97,ROW(Temps_Total)-MIN(ROW(Temps_Total))+1),COLUMNS($A$3:F97))),"")</f>
        <v/>
      </c>
      <c r="Q97" s="39" t="str">
        <f t="array" ref="Q97">IFERROR(INDEX(Temps_Total,SMALL(IF(Id_Impression=$A97,ROW(Temps_Total)-MIN(ROW(Temps_Total))+1),COLUMNS($A$3:G97))),"")</f>
        <v/>
      </c>
      <c r="R97" s="38">
        <f t="array" ref="R97">IFERROR(INDEX(Quantité_à_imprimer_12_2017,SMALL(IF(Id_Impression=$A97,ROW(Quantité_à_imprimer_12_2017)-MIN(ROW(Quantité_à_imprimer_12_2017))+1),COLUMNS($A$3:A97))),"")</f>
        <v>1</v>
      </c>
      <c r="S97" s="38" t="str">
        <f t="array" ref="S97">IFERROR(INDEX(Quantité_à_imprimer_12_2017,SMALL(IF(Id_Impression=$A97,ROW(Quantité_à_imprimer_12_2017)-MIN(ROW(Quantité_à_imprimer_12_2017))+1),COLUMNS($A$3:B97))),"")</f>
        <v/>
      </c>
      <c r="T97" s="38" t="str">
        <f t="array" ref="T97">IFERROR(INDEX(Quantité_à_imprimer_12_2017,SMALL(IF(Id_Impression=$A97,ROW(Quantité_à_imprimer_12_2017)-MIN(ROW(Quantité_à_imprimer_12_2017))+1),COLUMNS($A$3:C97))),"")</f>
        <v/>
      </c>
      <c r="U97" s="38" t="str">
        <f t="array" ref="U97">IFERROR(INDEX(Quantité_à_imprimer_12_2017,SMALL(IF(Id_Impression=$A97,ROW(Quantité_à_imprimer_12_2017)-MIN(ROW(Quantité_à_imprimer_12_2017))+1),COLUMNS($A$3:D97))),"")</f>
        <v/>
      </c>
      <c r="V97" s="38" t="str">
        <f t="array" ref="V97">IFERROR(INDEX(Quantité_à_imprimer_12_2017,SMALL(IF(Id_Impression=$A97,ROW(Quantité_à_imprimer_12_2017)-MIN(ROW(Quantité_à_imprimer_12_2017))+1),COLUMNS($A$3:E97))),"")</f>
        <v/>
      </c>
      <c r="W97" s="38" t="str">
        <f t="array" ref="W97">IFERROR(INDEX(Quantité_à_imprimer_12_2017,SMALL(IF(Id_Impression=$A97,ROW(Quantité_à_imprimer_12_2017)-MIN(ROW(Quantité_à_imprimer_12_2017))+1),COLUMNS($A$3:F97))),"")</f>
        <v/>
      </c>
      <c r="X97" s="38" t="str">
        <f t="array" ref="X97">IFERROR(INDEX(Quantité_à_imprimer_12_2017,SMALL(IF(Id_Impression=$A97,ROW(Quantité_à_imprimer_12_2017)-MIN(ROW(Quantité_à_imprimer_12_2017))+1),COLUMNS($A$3:G97))),"")</f>
        <v/>
      </c>
    </row>
    <row r="98" spans="1:24" x14ac:dyDescent="0.55000000000000004">
      <c r="A98" s="40">
        <v>97</v>
      </c>
      <c r="B98" s="36">
        <f t="shared" si="1"/>
        <v>0.17430555555555557</v>
      </c>
      <c r="C98" s="37">
        <v>1</v>
      </c>
      <c r="D98" s="38" t="str">
        <f t="array" ref="D98">IFERROR(INDEX(Fichier_initial,SMALL(IF(Id_Impression=$A98,ROW(Fichier_initial)-MIN(ROW(Fichier_initial))+1),COLUMNS($A98:A98))),"")</f>
        <v>EarRightV1</v>
      </c>
      <c r="E98" s="38" t="str">
        <f t="array" ref="E98">IFERROR(INDEX(Fichier_initial,SMALL(IF(Id_Impression=$A98,ROW(Fichier_initial)-MIN(ROW(Fichier_initial))+1),COLUMNS($A98:B98))),"")</f>
        <v/>
      </c>
      <c r="F98" s="38" t="str">
        <f t="array" ref="F98">IFERROR(INDEX(Fichier_initial,SMALL(IF(Id_Impression=$A98,ROW(Fichier_initial)-MIN(ROW(Fichier_initial))+1),COLUMNS($A98:C98))),"")</f>
        <v/>
      </c>
      <c r="G98" s="38" t="str">
        <f t="array" ref="G98">IFERROR(INDEX(Fichier_initial,SMALL(IF(Id_Impression=$A98,ROW(Fichier_initial)-MIN(ROW(Fichier_initial))+1),COLUMNS($A98:D98))),"")</f>
        <v/>
      </c>
      <c r="H98" s="38" t="str">
        <f t="array" ref="H98">IFERROR(INDEX(Fichier_initial,SMALL(IF(Id_Impression=$A98,ROW(Fichier_initial)-MIN(ROW(Fichier_initial))+1),COLUMNS($A98:E98))),"")</f>
        <v/>
      </c>
      <c r="I98" s="38" t="str">
        <f t="array" ref="I98">IFERROR(INDEX(Fichier_initial,SMALL(IF(Id_Impression=$A98,ROW(Fichier_initial)-MIN(ROW(Fichier_initial))+1),COLUMNS($A98:F98))),"")</f>
        <v/>
      </c>
      <c r="J98" s="38" t="str">
        <f t="array" ref="J98">IFERROR(INDEX(Fichier_initial,SMALL(IF(Id_Impression=$A98,ROW(Fichier_initial)-MIN(ROW(Fichier_initial))+1),COLUMNS($A98:G98))),"")</f>
        <v/>
      </c>
      <c r="K98" s="39">
        <f t="array" ref="K98">IFERROR(INDEX(Temps_Total,SMALL(IF(Id_Impression=$A98,ROW(Temps_Total)-MIN(ROW(Temps_Total))+1),COLUMNS($A$3:A98))),"")</f>
        <v>0.17430555555555557</v>
      </c>
      <c r="L98" s="39" t="str">
        <f t="array" ref="L98">IFERROR(INDEX(Temps_Total,SMALL(IF(Id_Impression=$A98,ROW(Temps_Total)-MIN(ROW(Temps_Total))+1),COLUMNS($A$3:B98))),"")</f>
        <v/>
      </c>
      <c r="M98" s="39" t="str">
        <f t="array" ref="M98">IFERROR(INDEX(Temps_Total,SMALL(IF(Id_Impression=$A98,ROW(Temps_Total)-MIN(ROW(Temps_Total))+1),COLUMNS($A$3:C98))),"")</f>
        <v/>
      </c>
      <c r="N98" s="39" t="str">
        <f t="array" ref="N98">IFERROR(INDEX(Temps_Total,SMALL(IF(Id_Impression=$A98,ROW(Temps_Total)-MIN(ROW(Temps_Total))+1),COLUMNS($A$3:D98))),"")</f>
        <v/>
      </c>
      <c r="O98" s="39" t="str">
        <f t="array" ref="O98">IFERROR(INDEX(Temps_Total,SMALL(IF(Id_Impression=$A98,ROW(Temps_Total)-MIN(ROW(Temps_Total))+1),COLUMNS($A$3:E98))),"")</f>
        <v/>
      </c>
      <c r="P98" s="39" t="str">
        <f t="array" ref="P98">IFERROR(INDEX(Temps_Total,SMALL(IF(Id_Impression=$A98,ROW(Temps_Total)-MIN(ROW(Temps_Total))+1),COLUMNS($A$3:F98))),"")</f>
        <v/>
      </c>
      <c r="Q98" s="39" t="str">
        <f t="array" ref="Q98">IFERROR(INDEX(Temps_Total,SMALL(IF(Id_Impression=$A98,ROW(Temps_Total)-MIN(ROW(Temps_Total))+1),COLUMNS($A$3:G98))),"")</f>
        <v/>
      </c>
      <c r="R98" s="38">
        <f t="array" ref="R98">IFERROR(INDEX(Quantité_à_imprimer_12_2017,SMALL(IF(Id_Impression=$A98,ROW(Quantité_à_imprimer_12_2017)-MIN(ROW(Quantité_à_imprimer_12_2017))+1),COLUMNS($A$3:A98))),"")</f>
        <v>1</v>
      </c>
      <c r="S98" s="38" t="str">
        <f t="array" ref="S98">IFERROR(INDEX(Quantité_à_imprimer_12_2017,SMALL(IF(Id_Impression=$A98,ROW(Quantité_à_imprimer_12_2017)-MIN(ROW(Quantité_à_imprimer_12_2017))+1),COLUMNS($A$3:B98))),"")</f>
        <v/>
      </c>
      <c r="T98" s="38" t="str">
        <f t="array" ref="T98">IFERROR(INDEX(Quantité_à_imprimer_12_2017,SMALL(IF(Id_Impression=$A98,ROW(Quantité_à_imprimer_12_2017)-MIN(ROW(Quantité_à_imprimer_12_2017))+1),COLUMNS($A$3:C98))),"")</f>
        <v/>
      </c>
      <c r="U98" s="38" t="str">
        <f t="array" ref="U98">IFERROR(INDEX(Quantité_à_imprimer_12_2017,SMALL(IF(Id_Impression=$A98,ROW(Quantité_à_imprimer_12_2017)-MIN(ROW(Quantité_à_imprimer_12_2017))+1),COLUMNS($A$3:D98))),"")</f>
        <v/>
      </c>
      <c r="V98" s="38" t="str">
        <f t="array" ref="V98">IFERROR(INDEX(Quantité_à_imprimer_12_2017,SMALL(IF(Id_Impression=$A98,ROW(Quantité_à_imprimer_12_2017)-MIN(ROW(Quantité_à_imprimer_12_2017))+1),COLUMNS($A$3:E98))),"")</f>
        <v/>
      </c>
      <c r="W98" s="38" t="str">
        <f t="array" ref="W98">IFERROR(INDEX(Quantité_à_imprimer_12_2017,SMALL(IF(Id_Impression=$A98,ROW(Quantité_à_imprimer_12_2017)-MIN(ROW(Quantité_à_imprimer_12_2017))+1),COLUMNS($A$3:F98))),"")</f>
        <v/>
      </c>
      <c r="X98" s="38" t="str">
        <f t="array" ref="X98">IFERROR(INDEX(Quantité_à_imprimer_12_2017,SMALL(IF(Id_Impression=$A98,ROW(Quantité_à_imprimer_12_2017)-MIN(ROW(Quantité_à_imprimer_12_2017))+1),COLUMNS($A$3:G98))),"")</f>
        <v/>
      </c>
    </row>
    <row r="99" spans="1:24" x14ac:dyDescent="0.55000000000000004">
      <c r="A99" s="40">
        <v>98</v>
      </c>
      <c r="B99" s="36">
        <f t="shared" si="1"/>
        <v>0.24444444444444446</v>
      </c>
      <c r="C99" s="37">
        <v>1</v>
      </c>
      <c r="D99" s="38" t="str">
        <f t="array" ref="D99">IFERROR(INDEX(Fichier_initial,SMALL(IF(Id_Impression=$A99,ROW(Fichier_initial)-MIN(ROW(Fichier_initial))+1),COLUMNS($A99:A99))),"")</f>
        <v>TopBackSkullV1</v>
      </c>
      <c r="E99" s="38" t="str">
        <f t="array" ref="E99">IFERROR(INDEX(Fichier_initial,SMALL(IF(Id_Impression=$A99,ROW(Fichier_initial)-MIN(ROW(Fichier_initial))+1),COLUMNS($A99:B99))),"")</f>
        <v/>
      </c>
      <c r="F99" s="38" t="str">
        <f t="array" ref="F99">IFERROR(INDEX(Fichier_initial,SMALL(IF(Id_Impression=$A99,ROW(Fichier_initial)-MIN(ROW(Fichier_initial))+1),COLUMNS($A99:C99))),"")</f>
        <v/>
      </c>
      <c r="G99" s="38" t="str">
        <f t="array" ref="G99">IFERROR(INDEX(Fichier_initial,SMALL(IF(Id_Impression=$A99,ROW(Fichier_initial)-MIN(ROW(Fichier_initial))+1),COLUMNS($A99:D99))),"")</f>
        <v/>
      </c>
      <c r="H99" s="38" t="str">
        <f t="array" ref="H99">IFERROR(INDEX(Fichier_initial,SMALL(IF(Id_Impression=$A99,ROW(Fichier_initial)-MIN(ROW(Fichier_initial))+1),COLUMNS($A99:E99))),"")</f>
        <v/>
      </c>
      <c r="I99" s="38" t="str">
        <f t="array" ref="I99">IFERROR(INDEX(Fichier_initial,SMALL(IF(Id_Impression=$A99,ROW(Fichier_initial)-MIN(ROW(Fichier_initial))+1),COLUMNS($A99:F99))),"")</f>
        <v/>
      </c>
      <c r="J99" s="38" t="str">
        <f t="array" ref="J99">IFERROR(INDEX(Fichier_initial,SMALL(IF(Id_Impression=$A99,ROW(Fichier_initial)-MIN(ROW(Fichier_initial))+1),COLUMNS($A99:G99))),"")</f>
        <v/>
      </c>
      <c r="K99" s="39">
        <f t="array" ref="K99">IFERROR(INDEX(Temps_Total,SMALL(IF(Id_Impression=$A99,ROW(Temps_Total)-MIN(ROW(Temps_Total))+1),COLUMNS($A$3:A99))),"")</f>
        <v>0.24444444444444446</v>
      </c>
      <c r="L99" s="39" t="str">
        <f t="array" ref="L99">IFERROR(INDEX(Temps_Total,SMALL(IF(Id_Impression=$A99,ROW(Temps_Total)-MIN(ROW(Temps_Total))+1),COLUMNS($A$3:B99))),"")</f>
        <v/>
      </c>
      <c r="M99" s="39" t="str">
        <f t="array" ref="M99">IFERROR(INDEX(Temps_Total,SMALL(IF(Id_Impression=$A99,ROW(Temps_Total)-MIN(ROW(Temps_Total))+1),COLUMNS($A$3:C99))),"")</f>
        <v/>
      </c>
      <c r="N99" s="39" t="str">
        <f t="array" ref="N99">IFERROR(INDEX(Temps_Total,SMALL(IF(Id_Impression=$A99,ROW(Temps_Total)-MIN(ROW(Temps_Total))+1),COLUMNS($A$3:D99))),"")</f>
        <v/>
      </c>
      <c r="O99" s="39" t="str">
        <f t="array" ref="O99">IFERROR(INDEX(Temps_Total,SMALL(IF(Id_Impression=$A99,ROW(Temps_Total)-MIN(ROW(Temps_Total))+1),COLUMNS($A$3:E99))),"")</f>
        <v/>
      </c>
      <c r="P99" s="39" t="str">
        <f t="array" ref="P99">IFERROR(INDEX(Temps_Total,SMALL(IF(Id_Impression=$A99,ROW(Temps_Total)-MIN(ROW(Temps_Total))+1),COLUMNS($A$3:F99))),"")</f>
        <v/>
      </c>
      <c r="Q99" s="39" t="str">
        <f t="array" ref="Q99">IFERROR(INDEX(Temps_Total,SMALL(IF(Id_Impression=$A99,ROW(Temps_Total)-MIN(ROW(Temps_Total))+1),COLUMNS($A$3:G99))),"")</f>
        <v/>
      </c>
      <c r="R99" s="38">
        <f t="array" ref="R99">IFERROR(INDEX(Quantité_à_imprimer_12_2017,SMALL(IF(Id_Impression=$A99,ROW(Quantité_à_imprimer_12_2017)-MIN(ROW(Quantité_à_imprimer_12_2017))+1),COLUMNS($A$3:A99))),"")</f>
        <v>1</v>
      </c>
      <c r="S99" s="38" t="str">
        <f t="array" ref="S99">IFERROR(INDEX(Quantité_à_imprimer_12_2017,SMALL(IF(Id_Impression=$A99,ROW(Quantité_à_imprimer_12_2017)-MIN(ROW(Quantité_à_imprimer_12_2017))+1),COLUMNS($A$3:B99))),"")</f>
        <v/>
      </c>
      <c r="T99" s="38" t="str">
        <f t="array" ref="T99">IFERROR(INDEX(Quantité_à_imprimer_12_2017,SMALL(IF(Id_Impression=$A99,ROW(Quantité_à_imprimer_12_2017)-MIN(ROW(Quantité_à_imprimer_12_2017))+1),COLUMNS($A$3:C99))),"")</f>
        <v/>
      </c>
      <c r="U99" s="38" t="str">
        <f t="array" ref="U99">IFERROR(INDEX(Quantité_à_imprimer_12_2017,SMALL(IF(Id_Impression=$A99,ROW(Quantité_à_imprimer_12_2017)-MIN(ROW(Quantité_à_imprimer_12_2017))+1),COLUMNS($A$3:D99))),"")</f>
        <v/>
      </c>
      <c r="V99" s="38" t="str">
        <f t="array" ref="V99">IFERROR(INDEX(Quantité_à_imprimer_12_2017,SMALL(IF(Id_Impression=$A99,ROW(Quantité_à_imprimer_12_2017)-MIN(ROW(Quantité_à_imprimer_12_2017))+1),COLUMNS($A$3:E99))),"")</f>
        <v/>
      </c>
      <c r="W99" s="38" t="str">
        <f t="array" ref="W99">IFERROR(INDEX(Quantité_à_imprimer_12_2017,SMALL(IF(Id_Impression=$A99,ROW(Quantité_à_imprimer_12_2017)-MIN(ROW(Quantité_à_imprimer_12_2017))+1),COLUMNS($A$3:F99))),"")</f>
        <v/>
      </c>
      <c r="X99" s="38" t="str">
        <f t="array" ref="X99">IFERROR(INDEX(Quantité_à_imprimer_12_2017,SMALL(IF(Id_Impression=$A99,ROW(Quantité_à_imprimer_12_2017)-MIN(ROW(Quantité_à_imprimer_12_2017))+1),COLUMNS($A$3:G99))),"")</f>
        <v/>
      </c>
    </row>
    <row r="100" spans="1:24" x14ac:dyDescent="0.55000000000000004">
      <c r="A100" s="40">
        <v>99</v>
      </c>
      <c r="B100" s="36">
        <f t="shared" si="1"/>
        <v>0.27847222222222223</v>
      </c>
      <c r="C100" s="37">
        <v>1</v>
      </c>
      <c r="D100" s="38" t="str">
        <f t="array" ref="D100">IFERROR(INDEX(Fichier_initial,SMALL(IF(Id_Impression=$A100,ROW(Fichier_initial)-MIN(ROW(Fichier_initial))+1),COLUMNS($A100:A100))),"")</f>
        <v>TopskullLeftV3</v>
      </c>
      <c r="E100" s="38" t="str">
        <f t="array" ref="E100">IFERROR(INDEX(Fichier_initial,SMALL(IF(Id_Impression=$A100,ROW(Fichier_initial)-MIN(ROW(Fichier_initial))+1),COLUMNS($A100:B100))),"")</f>
        <v/>
      </c>
      <c r="F100" s="38" t="str">
        <f t="array" ref="F100">IFERROR(INDEX(Fichier_initial,SMALL(IF(Id_Impression=$A100,ROW(Fichier_initial)-MIN(ROW(Fichier_initial))+1),COLUMNS($A100:C100))),"")</f>
        <v/>
      </c>
      <c r="G100" s="38" t="str">
        <f t="array" ref="G100">IFERROR(INDEX(Fichier_initial,SMALL(IF(Id_Impression=$A100,ROW(Fichier_initial)-MIN(ROW(Fichier_initial))+1),COLUMNS($A100:D100))),"")</f>
        <v/>
      </c>
      <c r="H100" s="38" t="str">
        <f t="array" ref="H100">IFERROR(INDEX(Fichier_initial,SMALL(IF(Id_Impression=$A100,ROW(Fichier_initial)-MIN(ROW(Fichier_initial))+1),COLUMNS($A100:E100))),"")</f>
        <v/>
      </c>
      <c r="I100" s="38" t="str">
        <f t="array" ref="I100">IFERROR(INDEX(Fichier_initial,SMALL(IF(Id_Impression=$A100,ROW(Fichier_initial)-MIN(ROW(Fichier_initial))+1),COLUMNS($A100:F100))),"")</f>
        <v/>
      </c>
      <c r="J100" s="38" t="str">
        <f t="array" ref="J100">IFERROR(INDEX(Fichier_initial,SMALL(IF(Id_Impression=$A100,ROW(Fichier_initial)-MIN(ROW(Fichier_initial))+1),COLUMNS($A100:G100))),"")</f>
        <v/>
      </c>
      <c r="K100" s="39">
        <f t="array" ref="K100">IFERROR(INDEX(Temps_Total,SMALL(IF(Id_Impression=$A100,ROW(Temps_Total)-MIN(ROW(Temps_Total))+1),COLUMNS($A$3:A100))),"")</f>
        <v>0.27847222222222223</v>
      </c>
      <c r="L100" s="39" t="str">
        <f t="array" ref="L100">IFERROR(INDEX(Temps_Total,SMALL(IF(Id_Impression=$A100,ROW(Temps_Total)-MIN(ROW(Temps_Total))+1),COLUMNS($A$3:B100))),"")</f>
        <v/>
      </c>
      <c r="M100" s="39" t="str">
        <f t="array" ref="M100">IFERROR(INDEX(Temps_Total,SMALL(IF(Id_Impression=$A100,ROW(Temps_Total)-MIN(ROW(Temps_Total))+1),COLUMNS($A$3:C100))),"")</f>
        <v/>
      </c>
      <c r="N100" s="39" t="str">
        <f t="array" ref="N100">IFERROR(INDEX(Temps_Total,SMALL(IF(Id_Impression=$A100,ROW(Temps_Total)-MIN(ROW(Temps_Total))+1),COLUMNS($A$3:D100))),"")</f>
        <v/>
      </c>
      <c r="O100" s="39" t="str">
        <f t="array" ref="O100">IFERROR(INDEX(Temps_Total,SMALL(IF(Id_Impression=$A100,ROW(Temps_Total)-MIN(ROW(Temps_Total))+1),COLUMNS($A$3:E100))),"")</f>
        <v/>
      </c>
      <c r="P100" s="39" t="str">
        <f t="array" ref="P100">IFERROR(INDEX(Temps_Total,SMALL(IF(Id_Impression=$A100,ROW(Temps_Total)-MIN(ROW(Temps_Total))+1),COLUMNS($A$3:F100))),"")</f>
        <v/>
      </c>
      <c r="Q100" s="39" t="str">
        <f t="array" ref="Q100">IFERROR(INDEX(Temps_Total,SMALL(IF(Id_Impression=$A100,ROW(Temps_Total)-MIN(ROW(Temps_Total))+1),COLUMNS($A$3:G100))),"")</f>
        <v/>
      </c>
      <c r="R100" s="38">
        <f t="array" ref="R100">IFERROR(INDEX(Quantité_à_imprimer_12_2017,SMALL(IF(Id_Impression=$A100,ROW(Quantité_à_imprimer_12_2017)-MIN(ROW(Quantité_à_imprimer_12_2017))+1),COLUMNS($A$3:A100))),"")</f>
        <v>1</v>
      </c>
      <c r="S100" s="38" t="str">
        <f t="array" ref="S100">IFERROR(INDEX(Quantité_à_imprimer_12_2017,SMALL(IF(Id_Impression=$A100,ROW(Quantité_à_imprimer_12_2017)-MIN(ROW(Quantité_à_imprimer_12_2017))+1),COLUMNS($A$3:B100))),"")</f>
        <v/>
      </c>
      <c r="T100" s="38" t="str">
        <f t="array" ref="T100">IFERROR(INDEX(Quantité_à_imprimer_12_2017,SMALL(IF(Id_Impression=$A100,ROW(Quantité_à_imprimer_12_2017)-MIN(ROW(Quantité_à_imprimer_12_2017))+1),COLUMNS($A$3:C100))),"")</f>
        <v/>
      </c>
      <c r="U100" s="38" t="str">
        <f t="array" ref="U100">IFERROR(INDEX(Quantité_à_imprimer_12_2017,SMALL(IF(Id_Impression=$A100,ROW(Quantité_à_imprimer_12_2017)-MIN(ROW(Quantité_à_imprimer_12_2017))+1),COLUMNS($A$3:D100))),"")</f>
        <v/>
      </c>
      <c r="V100" s="38" t="str">
        <f t="array" ref="V100">IFERROR(INDEX(Quantité_à_imprimer_12_2017,SMALL(IF(Id_Impression=$A100,ROW(Quantité_à_imprimer_12_2017)-MIN(ROW(Quantité_à_imprimer_12_2017))+1),COLUMNS($A$3:E100))),"")</f>
        <v/>
      </c>
      <c r="W100" s="38" t="str">
        <f t="array" ref="W100">IFERROR(INDEX(Quantité_à_imprimer_12_2017,SMALL(IF(Id_Impression=$A100,ROW(Quantité_à_imprimer_12_2017)-MIN(ROW(Quantité_à_imprimer_12_2017))+1),COLUMNS($A$3:F100))),"")</f>
        <v/>
      </c>
      <c r="X100" s="38" t="str">
        <f t="array" ref="X100">IFERROR(INDEX(Quantité_à_imprimer_12_2017,SMALL(IF(Id_Impression=$A100,ROW(Quantité_à_imprimer_12_2017)-MIN(ROW(Quantité_à_imprimer_12_2017))+1),COLUMNS($A$3:G100))),"")</f>
        <v/>
      </c>
    </row>
    <row r="101" spans="1:24" x14ac:dyDescent="0.55000000000000004">
      <c r="A101" s="40">
        <v>100</v>
      </c>
      <c r="B101" s="36">
        <f t="shared" si="1"/>
        <v>0.27916666666666667</v>
      </c>
      <c r="C101" s="37">
        <v>1</v>
      </c>
      <c r="D101" s="38" t="str">
        <f t="array" ref="D101">IFERROR(INDEX(Fichier_initial,SMALL(IF(Id_Impression=$A101,ROW(Fichier_initial)-MIN(ROW(Fichier_initial))+1),COLUMNS($A101:A101))),"")</f>
        <v>TopskullRightV3</v>
      </c>
      <c r="E101" s="38" t="str">
        <f t="array" ref="E101">IFERROR(INDEX(Fichier_initial,SMALL(IF(Id_Impression=$A101,ROW(Fichier_initial)-MIN(ROW(Fichier_initial))+1),COLUMNS($A101:B101))),"")</f>
        <v/>
      </c>
      <c r="F101" s="38" t="str">
        <f t="array" ref="F101">IFERROR(INDEX(Fichier_initial,SMALL(IF(Id_Impression=$A101,ROW(Fichier_initial)-MIN(ROW(Fichier_initial))+1),COLUMNS($A101:C101))),"")</f>
        <v/>
      </c>
      <c r="G101" s="38" t="str">
        <f t="array" ref="G101">IFERROR(INDEX(Fichier_initial,SMALL(IF(Id_Impression=$A101,ROW(Fichier_initial)-MIN(ROW(Fichier_initial))+1),COLUMNS($A101:D101))),"")</f>
        <v/>
      </c>
      <c r="H101" s="38" t="str">
        <f t="array" ref="H101">IFERROR(INDEX(Fichier_initial,SMALL(IF(Id_Impression=$A101,ROW(Fichier_initial)-MIN(ROW(Fichier_initial))+1),COLUMNS($A101:E101))),"")</f>
        <v/>
      </c>
      <c r="I101" s="38" t="str">
        <f t="array" ref="I101">IFERROR(INDEX(Fichier_initial,SMALL(IF(Id_Impression=$A101,ROW(Fichier_initial)-MIN(ROW(Fichier_initial))+1),COLUMNS($A101:F101))),"")</f>
        <v/>
      </c>
      <c r="J101" s="38" t="str">
        <f t="array" ref="J101">IFERROR(INDEX(Fichier_initial,SMALL(IF(Id_Impression=$A101,ROW(Fichier_initial)-MIN(ROW(Fichier_initial))+1),COLUMNS($A101:G101))),"")</f>
        <v/>
      </c>
      <c r="K101" s="39">
        <f t="array" ref="K101">IFERROR(INDEX(Temps_Total,SMALL(IF(Id_Impression=$A101,ROW(Temps_Total)-MIN(ROW(Temps_Total))+1),COLUMNS($A$3:A101))),"")</f>
        <v>0.27916666666666667</v>
      </c>
      <c r="L101" s="39" t="str">
        <f t="array" ref="L101">IFERROR(INDEX(Temps_Total,SMALL(IF(Id_Impression=$A101,ROW(Temps_Total)-MIN(ROW(Temps_Total))+1),COLUMNS($A$3:B101))),"")</f>
        <v/>
      </c>
      <c r="M101" s="39" t="str">
        <f t="array" ref="M101">IFERROR(INDEX(Temps_Total,SMALL(IF(Id_Impression=$A101,ROW(Temps_Total)-MIN(ROW(Temps_Total))+1),COLUMNS($A$3:C101))),"")</f>
        <v/>
      </c>
      <c r="N101" s="39" t="str">
        <f t="array" ref="N101">IFERROR(INDEX(Temps_Total,SMALL(IF(Id_Impression=$A101,ROW(Temps_Total)-MIN(ROW(Temps_Total))+1),COLUMNS($A$3:D101))),"")</f>
        <v/>
      </c>
      <c r="O101" s="39" t="str">
        <f t="array" ref="O101">IFERROR(INDEX(Temps_Total,SMALL(IF(Id_Impression=$A101,ROW(Temps_Total)-MIN(ROW(Temps_Total))+1),COLUMNS($A$3:E101))),"")</f>
        <v/>
      </c>
      <c r="P101" s="39" t="str">
        <f t="array" ref="P101">IFERROR(INDEX(Temps_Total,SMALL(IF(Id_Impression=$A101,ROW(Temps_Total)-MIN(ROW(Temps_Total))+1),COLUMNS($A$3:F101))),"")</f>
        <v/>
      </c>
      <c r="Q101" s="39" t="str">
        <f t="array" ref="Q101">IFERROR(INDEX(Temps_Total,SMALL(IF(Id_Impression=$A101,ROW(Temps_Total)-MIN(ROW(Temps_Total))+1),COLUMNS($A$3:G101))),"")</f>
        <v/>
      </c>
      <c r="R101" s="38">
        <f t="array" ref="R101">IFERROR(INDEX(Quantité_à_imprimer_12_2017,SMALL(IF(Id_Impression=$A101,ROW(Quantité_à_imprimer_12_2017)-MIN(ROW(Quantité_à_imprimer_12_2017))+1),COLUMNS($A$3:A101))),"")</f>
        <v>1</v>
      </c>
      <c r="S101" s="38" t="str">
        <f t="array" ref="S101">IFERROR(INDEX(Quantité_à_imprimer_12_2017,SMALL(IF(Id_Impression=$A101,ROW(Quantité_à_imprimer_12_2017)-MIN(ROW(Quantité_à_imprimer_12_2017))+1),COLUMNS($A$3:B101))),"")</f>
        <v/>
      </c>
      <c r="T101" s="38" t="str">
        <f t="array" ref="T101">IFERROR(INDEX(Quantité_à_imprimer_12_2017,SMALL(IF(Id_Impression=$A101,ROW(Quantité_à_imprimer_12_2017)-MIN(ROW(Quantité_à_imprimer_12_2017))+1),COLUMNS($A$3:C101))),"")</f>
        <v/>
      </c>
      <c r="U101" s="38" t="str">
        <f t="array" ref="U101">IFERROR(INDEX(Quantité_à_imprimer_12_2017,SMALL(IF(Id_Impression=$A101,ROW(Quantité_à_imprimer_12_2017)-MIN(ROW(Quantité_à_imprimer_12_2017))+1),COLUMNS($A$3:D101))),"")</f>
        <v/>
      </c>
      <c r="V101" s="38" t="str">
        <f t="array" ref="V101">IFERROR(INDEX(Quantité_à_imprimer_12_2017,SMALL(IF(Id_Impression=$A101,ROW(Quantité_à_imprimer_12_2017)-MIN(ROW(Quantité_à_imprimer_12_2017))+1),COLUMNS($A$3:E101))),"")</f>
        <v/>
      </c>
      <c r="W101" s="38" t="str">
        <f t="array" ref="W101">IFERROR(INDEX(Quantité_à_imprimer_12_2017,SMALL(IF(Id_Impression=$A101,ROW(Quantité_à_imprimer_12_2017)-MIN(ROW(Quantité_à_imprimer_12_2017))+1),COLUMNS($A$3:F101))),"")</f>
        <v/>
      </c>
      <c r="X101" s="38" t="str">
        <f t="array" ref="X101">IFERROR(INDEX(Quantité_à_imprimer_12_2017,SMALL(IF(Id_Impression=$A101,ROW(Quantité_à_imprimer_12_2017)-MIN(ROW(Quantité_à_imprimer_12_2017))+1),COLUMNS($A$3:G101))),"")</f>
        <v/>
      </c>
    </row>
    <row r="102" spans="1:24" x14ac:dyDescent="0.55000000000000004">
      <c r="A102" s="40">
        <v>101</v>
      </c>
      <c r="B102" s="36">
        <f t="shared" si="1"/>
        <v>0</v>
      </c>
      <c r="C102" s="37">
        <v>0</v>
      </c>
      <c r="D102" s="38" t="str">
        <f t="array" ref="D102">IFERROR(INDEX(Fichier_initial,SMALL(IF(Id_Impression=$A102,ROW(Fichier_initial)-MIN(ROW(Fichier_initial))+1),COLUMNS($A102:A102))),"")</f>
        <v/>
      </c>
      <c r="E102" s="38" t="str">
        <f t="array" ref="E102">IFERROR(INDEX(Fichier_initial,SMALL(IF(Id_Impression=$A102,ROW(Fichier_initial)-MIN(ROW(Fichier_initial))+1),COLUMNS($A102:B102))),"")</f>
        <v/>
      </c>
      <c r="F102" s="38" t="str">
        <f t="array" ref="F102">IFERROR(INDEX(Fichier_initial,SMALL(IF(Id_Impression=$A102,ROW(Fichier_initial)-MIN(ROW(Fichier_initial))+1),COLUMNS($A102:C102))),"")</f>
        <v/>
      </c>
      <c r="G102" s="38" t="str">
        <f t="array" ref="G102">IFERROR(INDEX(Fichier_initial,SMALL(IF(Id_Impression=$A102,ROW(Fichier_initial)-MIN(ROW(Fichier_initial))+1),COLUMNS($A102:D102))),"")</f>
        <v/>
      </c>
      <c r="H102" s="38" t="str">
        <f t="array" ref="H102">IFERROR(INDEX(Fichier_initial,SMALL(IF(Id_Impression=$A102,ROW(Fichier_initial)-MIN(ROW(Fichier_initial))+1),COLUMNS($A102:E102))),"")</f>
        <v/>
      </c>
      <c r="I102" s="38" t="str">
        <f t="array" ref="I102">IFERROR(INDEX(Fichier_initial,SMALL(IF(Id_Impression=$A102,ROW(Fichier_initial)-MIN(ROW(Fichier_initial))+1),COLUMNS($A102:F102))),"")</f>
        <v/>
      </c>
      <c r="J102" s="38" t="str">
        <f t="array" ref="J102">IFERROR(INDEX(Fichier_initial,SMALL(IF(Id_Impression=$A102,ROW(Fichier_initial)-MIN(ROW(Fichier_initial))+1),COLUMNS($A102:G102))),"")</f>
        <v/>
      </c>
      <c r="K102" s="39" t="str">
        <f t="array" ref="K102">IFERROR(INDEX(Temps_Total,SMALL(IF(Id_Impression=$A102,ROW(Temps_Total)-MIN(ROW(Temps_Total))+1),COLUMNS($A$3:A102))),"")</f>
        <v/>
      </c>
      <c r="L102" s="39" t="str">
        <f t="array" ref="L102">IFERROR(INDEX(Temps_Total,SMALL(IF(Id_Impression=$A102,ROW(Temps_Total)-MIN(ROW(Temps_Total))+1),COLUMNS($A$3:B102))),"")</f>
        <v/>
      </c>
      <c r="M102" s="39" t="str">
        <f t="array" ref="M102">IFERROR(INDEX(Temps_Total,SMALL(IF(Id_Impression=$A102,ROW(Temps_Total)-MIN(ROW(Temps_Total))+1),COLUMNS($A$3:C102))),"")</f>
        <v/>
      </c>
      <c r="N102" s="39" t="str">
        <f t="array" ref="N102">IFERROR(INDEX(Temps_Total,SMALL(IF(Id_Impression=$A102,ROW(Temps_Total)-MIN(ROW(Temps_Total))+1),COLUMNS($A$3:D102))),"")</f>
        <v/>
      </c>
      <c r="O102" s="39" t="str">
        <f t="array" ref="O102">IFERROR(INDEX(Temps_Total,SMALL(IF(Id_Impression=$A102,ROW(Temps_Total)-MIN(ROW(Temps_Total))+1),COLUMNS($A$3:E102))),"")</f>
        <v/>
      </c>
      <c r="P102" s="39" t="str">
        <f t="array" ref="P102">IFERROR(INDEX(Temps_Total,SMALL(IF(Id_Impression=$A102,ROW(Temps_Total)-MIN(ROW(Temps_Total))+1),COLUMNS($A$3:F102))),"")</f>
        <v/>
      </c>
      <c r="Q102" s="39" t="str">
        <f t="array" ref="Q102">IFERROR(INDEX(Temps_Total,SMALL(IF(Id_Impression=$A102,ROW(Temps_Total)-MIN(ROW(Temps_Total))+1),COLUMNS($A$3:G102))),"")</f>
        <v/>
      </c>
      <c r="R102" s="38" t="str">
        <f t="array" ref="R102">IFERROR(INDEX(Quantité_à_imprimer_12_2017,SMALL(IF(Id_Impression=$A102,ROW(Quantité_à_imprimer_12_2017)-MIN(ROW(Quantité_à_imprimer_12_2017))+1),COLUMNS($A$3:A102))),"")</f>
        <v/>
      </c>
      <c r="S102" s="38" t="str">
        <f t="array" ref="S102">IFERROR(INDEX(Quantité_à_imprimer_12_2017,SMALL(IF(Id_Impression=$A102,ROW(Quantité_à_imprimer_12_2017)-MIN(ROW(Quantité_à_imprimer_12_2017))+1),COLUMNS($A$3:B102))),"")</f>
        <v/>
      </c>
      <c r="T102" s="38" t="str">
        <f t="array" ref="T102">IFERROR(INDEX(Quantité_à_imprimer_12_2017,SMALL(IF(Id_Impression=$A102,ROW(Quantité_à_imprimer_12_2017)-MIN(ROW(Quantité_à_imprimer_12_2017))+1),COLUMNS($A$3:C102))),"")</f>
        <v/>
      </c>
      <c r="U102" s="38" t="str">
        <f t="array" ref="U102">IFERROR(INDEX(Quantité_à_imprimer_12_2017,SMALL(IF(Id_Impression=$A102,ROW(Quantité_à_imprimer_12_2017)-MIN(ROW(Quantité_à_imprimer_12_2017))+1),COLUMNS($A$3:D102))),"")</f>
        <v/>
      </c>
      <c r="V102" s="38" t="str">
        <f t="array" ref="V102">IFERROR(INDEX(Quantité_à_imprimer_12_2017,SMALL(IF(Id_Impression=$A102,ROW(Quantité_à_imprimer_12_2017)-MIN(ROW(Quantité_à_imprimer_12_2017))+1),COLUMNS($A$3:E102))),"")</f>
        <v/>
      </c>
      <c r="W102" s="38" t="str">
        <f t="array" ref="W102">IFERROR(INDEX(Quantité_à_imprimer_12_2017,SMALL(IF(Id_Impression=$A102,ROW(Quantité_à_imprimer_12_2017)-MIN(ROW(Quantité_à_imprimer_12_2017))+1),COLUMNS($A$3:F102))),"")</f>
        <v/>
      </c>
      <c r="X102" s="38" t="str">
        <f t="array" ref="X102">IFERROR(INDEX(Quantité_à_imprimer_12_2017,SMALL(IF(Id_Impression=$A102,ROW(Quantité_à_imprimer_12_2017)-MIN(ROW(Quantité_à_imprimer_12_2017))+1),COLUMNS($A$3:G102))),"")</f>
        <v/>
      </c>
    </row>
    <row r="103" spans="1:24" x14ac:dyDescent="0.55000000000000004">
      <c r="A103" s="40">
        <v>102</v>
      </c>
      <c r="B103" s="36">
        <f t="shared" si="1"/>
        <v>0</v>
      </c>
      <c r="C103" s="37">
        <v>0</v>
      </c>
      <c r="D103" s="38" t="str">
        <f t="array" ref="D103">IFERROR(INDEX(Fichier_initial,SMALL(IF(Id_Impression=$A103,ROW(Fichier_initial)-MIN(ROW(Fichier_initial))+1),COLUMNS($A103:A103))),"")</f>
        <v/>
      </c>
      <c r="E103" s="38" t="str">
        <f t="array" ref="E103">IFERROR(INDEX(Fichier_initial,SMALL(IF(Id_Impression=$A103,ROW(Fichier_initial)-MIN(ROW(Fichier_initial))+1),COLUMNS($A103:B103))),"")</f>
        <v/>
      </c>
      <c r="F103" s="38" t="str">
        <f t="array" ref="F103">IFERROR(INDEX(Fichier_initial,SMALL(IF(Id_Impression=$A103,ROW(Fichier_initial)-MIN(ROW(Fichier_initial))+1),COLUMNS($A103:C103))),"")</f>
        <v/>
      </c>
      <c r="G103" s="38" t="str">
        <f t="array" ref="G103">IFERROR(INDEX(Fichier_initial,SMALL(IF(Id_Impression=$A103,ROW(Fichier_initial)-MIN(ROW(Fichier_initial))+1),COLUMNS($A103:D103))),"")</f>
        <v/>
      </c>
      <c r="H103" s="38" t="str">
        <f t="array" ref="H103">IFERROR(INDEX(Fichier_initial,SMALL(IF(Id_Impression=$A103,ROW(Fichier_initial)-MIN(ROW(Fichier_initial))+1),COLUMNS($A103:E103))),"")</f>
        <v/>
      </c>
      <c r="I103" s="38" t="str">
        <f t="array" ref="I103">IFERROR(INDEX(Fichier_initial,SMALL(IF(Id_Impression=$A103,ROW(Fichier_initial)-MIN(ROW(Fichier_initial))+1),COLUMNS($A103:F103))),"")</f>
        <v/>
      </c>
      <c r="J103" s="38" t="str">
        <f t="array" ref="J103">IFERROR(INDEX(Fichier_initial,SMALL(IF(Id_Impression=$A103,ROW(Fichier_initial)-MIN(ROW(Fichier_initial))+1),COLUMNS($A103:G103))),"")</f>
        <v/>
      </c>
      <c r="K103" s="39" t="str">
        <f t="array" ref="K103">IFERROR(INDEX(Temps_Total,SMALL(IF(Id_Impression=$A103,ROW(Temps_Total)-MIN(ROW(Temps_Total))+1),COLUMNS($A$3:A103))),"")</f>
        <v/>
      </c>
      <c r="L103" s="39" t="str">
        <f t="array" ref="L103">IFERROR(INDEX(Temps_Total,SMALL(IF(Id_Impression=$A103,ROW(Temps_Total)-MIN(ROW(Temps_Total))+1),COLUMNS($A$3:B103))),"")</f>
        <v/>
      </c>
      <c r="M103" s="39" t="str">
        <f t="array" ref="M103">IFERROR(INDEX(Temps_Total,SMALL(IF(Id_Impression=$A103,ROW(Temps_Total)-MIN(ROW(Temps_Total))+1),COLUMNS($A$3:C103))),"")</f>
        <v/>
      </c>
      <c r="N103" s="39" t="str">
        <f t="array" ref="N103">IFERROR(INDEX(Temps_Total,SMALL(IF(Id_Impression=$A103,ROW(Temps_Total)-MIN(ROW(Temps_Total))+1),COLUMNS($A$3:D103))),"")</f>
        <v/>
      </c>
      <c r="O103" s="39" t="str">
        <f t="array" ref="O103">IFERROR(INDEX(Temps_Total,SMALL(IF(Id_Impression=$A103,ROW(Temps_Total)-MIN(ROW(Temps_Total))+1),COLUMNS($A$3:E103))),"")</f>
        <v/>
      </c>
      <c r="P103" s="39" t="str">
        <f t="array" ref="P103">IFERROR(INDEX(Temps_Total,SMALL(IF(Id_Impression=$A103,ROW(Temps_Total)-MIN(ROW(Temps_Total))+1),COLUMNS($A$3:F103))),"")</f>
        <v/>
      </c>
      <c r="Q103" s="39" t="str">
        <f t="array" ref="Q103">IFERROR(INDEX(Temps_Total,SMALL(IF(Id_Impression=$A103,ROW(Temps_Total)-MIN(ROW(Temps_Total))+1),COLUMNS($A$3:G103))),"")</f>
        <v/>
      </c>
      <c r="R103" s="38" t="str">
        <f t="array" ref="R103">IFERROR(INDEX(Quantité_à_imprimer_12_2017,SMALL(IF(Id_Impression=$A103,ROW(Quantité_à_imprimer_12_2017)-MIN(ROW(Quantité_à_imprimer_12_2017))+1),COLUMNS($A$3:A103))),"")</f>
        <v/>
      </c>
      <c r="S103" s="38" t="str">
        <f t="array" ref="S103">IFERROR(INDEX(Quantité_à_imprimer_12_2017,SMALL(IF(Id_Impression=$A103,ROW(Quantité_à_imprimer_12_2017)-MIN(ROW(Quantité_à_imprimer_12_2017))+1),COLUMNS($A$3:B103))),"")</f>
        <v/>
      </c>
      <c r="T103" s="38" t="str">
        <f t="array" ref="T103">IFERROR(INDEX(Quantité_à_imprimer_12_2017,SMALL(IF(Id_Impression=$A103,ROW(Quantité_à_imprimer_12_2017)-MIN(ROW(Quantité_à_imprimer_12_2017))+1),COLUMNS($A$3:C103))),"")</f>
        <v/>
      </c>
      <c r="U103" s="38" t="str">
        <f t="array" ref="U103">IFERROR(INDEX(Quantité_à_imprimer_12_2017,SMALL(IF(Id_Impression=$A103,ROW(Quantité_à_imprimer_12_2017)-MIN(ROW(Quantité_à_imprimer_12_2017))+1),COLUMNS($A$3:D103))),"")</f>
        <v/>
      </c>
      <c r="V103" s="38" t="str">
        <f t="array" ref="V103">IFERROR(INDEX(Quantité_à_imprimer_12_2017,SMALL(IF(Id_Impression=$A103,ROW(Quantité_à_imprimer_12_2017)-MIN(ROW(Quantité_à_imprimer_12_2017))+1),COLUMNS($A$3:E103))),"")</f>
        <v/>
      </c>
      <c r="W103" s="38" t="str">
        <f t="array" ref="W103">IFERROR(INDEX(Quantité_à_imprimer_12_2017,SMALL(IF(Id_Impression=$A103,ROW(Quantité_à_imprimer_12_2017)-MIN(ROW(Quantité_à_imprimer_12_2017))+1),COLUMNS($A$3:F103))),"")</f>
        <v/>
      </c>
      <c r="X103" s="38" t="str">
        <f t="array" ref="X103">IFERROR(INDEX(Quantité_à_imprimer_12_2017,SMALL(IF(Id_Impression=$A103,ROW(Quantité_à_imprimer_12_2017)-MIN(ROW(Quantité_à_imprimer_12_2017))+1),COLUMNS($A$3:G103))),"")</f>
        <v/>
      </c>
    </row>
    <row r="104" spans="1:24" x14ac:dyDescent="0.55000000000000004">
      <c r="A104" s="40">
        <v>103</v>
      </c>
      <c r="B104" s="36">
        <f t="shared" si="1"/>
        <v>0</v>
      </c>
      <c r="C104" s="37">
        <v>0</v>
      </c>
      <c r="D104" s="38" t="str">
        <f t="array" ref="D104">IFERROR(INDEX(Fichier_initial,SMALL(IF(Id_Impression=$A104,ROW(Fichier_initial)-MIN(ROW(Fichier_initial))+1),COLUMNS($A104:A104))),"")</f>
        <v/>
      </c>
      <c r="E104" s="38" t="str">
        <f t="array" ref="E104">IFERROR(INDEX(Fichier_initial,SMALL(IF(Id_Impression=$A104,ROW(Fichier_initial)-MIN(ROW(Fichier_initial))+1),COLUMNS($A104:B104))),"")</f>
        <v/>
      </c>
      <c r="F104" s="38" t="str">
        <f t="array" ref="F104">IFERROR(INDEX(Fichier_initial,SMALL(IF(Id_Impression=$A104,ROW(Fichier_initial)-MIN(ROW(Fichier_initial))+1),COLUMNS($A104:C104))),"")</f>
        <v/>
      </c>
      <c r="G104" s="38" t="str">
        <f t="array" ref="G104">IFERROR(INDEX(Fichier_initial,SMALL(IF(Id_Impression=$A104,ROW(Fichier_initial)-MIN(ROW(Fichier_initial))+1),COLUMNS($A104:D104))),"")</f>
        <v/>
      </c>
      <c r="H104" s="38" t="str">
        <f t="array" ref="H104">IFERROR(INDEX(Fichier_initial,SMALL(IF(Id_Impression=$A104,ROW(Fichier_initial)-MIN(ROW(Fichier_initial))+1),COLUMNS($A104:E104))),"")</f>
        <v/>
      </c>
      <c r="I104" s="38" t="str">
        <f t="array" ref="I104">IFERROR(INDEX(Fichier_initial,SMALL(IF(Id_Impression=$A104,ROW(Fichier_initial)-MIN(ROW(Fichier_initial))+1),COLUMNS($A104:F104))),"")</f>
        <v/>
      </c>
      <c r="J104" s="38" t="str">
        <f t="array" ref="J104">IFERROR(INDEX(Fichier_initial,SMALL(IF(Id_Impression=$A104,ROW(Fichier_initial)-MIN(ROW(Fichier_initial))+1),COLUMNS($A104:G104))),"")</f>
        <v/>
      </c>
      <c r="K104" s="39" t="str">
        <f t="array" ref="K104">IFERROR(INDEX(Temps_Total,SMALL(IF(Id_Impression=$A104,ROW(Temps_Total)-MIN(ROW(Temps_Total))+1),COLUMNS($A$3:A104))),"")</f>
        <v/>
      </c>
      <c r="L104" s="39" t="str">
        <f t="array" ref="L104">IFERROR(INDEX(Temps_Total,SMALL(IF(Id_Impression=$A104,ROW(Temps_Total)-MIN(ROW(Temps_Total))+1),COLUMNS($A$3:B104))),"")</f>
        <v/>
      </c>
      <c r="M104" s="39" t="str">
        <f t="array" ref="M104">IFERROR(INDEX(Temps_Total,SMALL(IF(Id_Impression=$A104,ROW(Temps_Total)-MIN(ROW(Temps_Total))+1),COLUMNS($A$3:C104))),"")</f>
        <v/>
      </c>
      <c r="N104" s="39" t="str">
        <f t="array" ref="N104">IFERROR(INDEX(Temps_Total,SMALL(IF(Id_Impression=$A104,ROW(Temps_Total)-MIN(ROW(Temps_Total))+1),COLUMNS($A$3:D104))),"")</f>
        <v/>
      </c>
      <c r="O104" s="39" t="str">
        <f t="array" ref="O104">IFERROR(INDEX(Temps_Total,SMALL(IF(Id_Impression=$A104,ROW(Temps_Total)-MIN(ROW(Temps_Total))+1),COLUMNS($A$3:E104))),"")</f>
        <v/>
      </c>
      <c r="P104" s="39" t="str">
        <f t="array" ref="P104">IFERROR(INDEX(Temps_Total,SMALL(IF(Id_Impression=$A104,ROW(Temps_Total)-MIN(ROW(Temps_Total))+1),COLUMNS($A$3:F104))),"")</f>
        <v/>
      </c>
      <c r="Q104" s="39" t="str">
        <f t="array" ref="Q104">IFERROR(INDEX(Temps_Total,SMALL(IF(Id_Impression=$A104,ROW(Temps_Total)-MIN(ROW(Temps_Total))+1),COLUMNS($A$3:G104))),"")</f>
        <v/>
      </c>
      <c r="R104" s="38" t="str">
        <f t="array" ref="R104">IFERROR(INDEX(Quantité_à_imprimer_12_2017,SMALL(IF(Id_Impression=$A104,ROW(Quantité_à_imprimer_12_2017)-MIN(ROW(Quantité_à_imprimer_12_2017))+1),COLUMNS($A$3:A104))),"")</f>
        <v/>
      </c>
      <c r="S104" s="38" t="str">
        <f t="array" ref="S104">IFERROR(INDEX(Quantité_à_imprimer_12_2017,SMALL(IF(Id_Impression=$A104,ROW(Quantité_à_imprimer_12_2017)-MIN(ROW(Quantité_à_imprimer_12_2017))+1),COLUMNS($A$3:B104))),"")</f>
        <v/>
      </c>
      <c r="T104" s="38" t="str">
        <f t="array" ref="T104">IFERROR(INDEX(Quantité_à_imprimer_12_2017,SMALL(IF(Id_Impression=$A104,ROW(Quantité_à_imprimer_12_2017)-MIN(ROW(Quantité_à_imprimer_12_2017))+1),COLUMNS($A$3:C104))),"")</f>
        <v/>
      </c>
      <c r="U104" s="38" t="str">
        <f t="array" ref="U104">IFERROR(INDEX(Quantité_à_imprimer_12_2017,SMALL(IF(Id_Impression=$A104,ROW(Quantité_à_imprimer_12_2017)-MIN(ROW(Quantité_à_imprimer_12_2017))+1),COLUMNS($A$3:D104))),"")</f>
        <v/>
      </c>
      <c r="V104" s="38" t="str">
        <f t="array" ref="V104">IFERROR(INDEX(Quantité_à_imprimer_12_2017,SMALL(IF(Id_Impression=$A104,ROW(Quantité_à_imprimer_12_2017)-MIN(ROW(Quantité_à_imprimer_12_2017))+1),COLUMNS($A$3:E104))),"")</f>
        <v/>
      </c>
      <c r="W104" s="38" t="str">
        <f t="array" ref="W104">IFERROR(INDEX(Quantité_à_imprimer_12_2017,SMALL(IF(Id_Impression=$A104,ROW(Quantité_à_imprimer_12_2017)-MIN(ROW(Quantité_à_imprimer_12_2017))+1),COLUMNS($A$3:F104))),"")</f>
        <v/>
      </c>
      <c r="X104" s="38" t="str">
        <f t="array" ref="X104">IFERROR(INDEX(Quantité_à_imprimer_12_2017,SMALL(IF(Id_Impression=$A104,ROW(Quantité_à_imprimer_12_2017)-MIN(ROW(Quantité_à_imprimer_12_2017))+1),COLUMNS($A$3:G104))),"")</f>
        <v/>
      </c>
    </row>
    <row r="105" spans="1:24" x14ac:dyDescent="0.55000000000000004">
      <c r="A105" s="40">
        <v>104</v>
      </c>
      <c r="B105" s="36">
        <f t="shared" si="1"/>
        <v>0</v>
      </c>
      <c r="C105" s="37">
        <v>0</v>
      </c>
      <c r="D105" s="38" t="str">
        <f t="array" ref="D105">IFERROR(INDEX(Fichier_initial,SMALL(IF(Id_Impression=$A105,ROW(Fichier_initial)-MIN(ROW(Fichier_initial))+1),COLUMNS($A105:A105))),"")</f>
        <v/>
      </c>
      <c r="E105" s="38" t="str">
        <f t="array" ref="E105">IFERROR(INDEX(Fichier_initial,SMALL(IF(Id_Impression=$A105,ROW(Fichier_initial)-MIN(ROW(Fichier_initial))+1),COLUMNS($A105:B105))),"")</f>
        <v/>
      </c>
      <c r="F105" s="38" t="str">
        <f t="array" ref="F105">IFERROR(INDEX(Fichier_initial,SMALL(IF(Id_Impression=$A105,ROW(Fichier_initial)-MIN(ROW(Fichier_initial))+1),COLUMNS($A105:C105))),"")</f>
        <v/>
      </c>
      <c r="G105" s="38" t="str">
        <f t="array" ref="G105">IFERROR(INDEX(Fichier_initial,SMALL(IF(Id_Impression=$A105,ROW(Fichier_initial)-MIN(ROW(Fichier_initial))+1),COLUMNS($A105:D105))),"")</f>
        <v/>
      </c>
      <c r="H105" s="38" t="str">
        <f t="array" ref="H105">IFERROR(INDEX(Fichier_initial,SMALL(IF(Id_Impression=$A105,ROW(Fichier_initial)-MIN(ROW(Fichier_initial))+1),COLUMNS($A105:E105))),"")</f>
        <v/>
      </c>
      <c r="I105" s="38" t="str">
        <f t="array" ref="I105">IFERROR(INDEX(Fichier_initial,SMALL(IF(Id_Impression=$A105,ROW(Fichier_initial)-MIN(ROW(Fichier_initial))+1),COLUMNS($A105:F105))),"")</f>
        <v/>
      </c>
      <c r="J105" s="38" t="str">
        <f t="array" ref="J105">IFERROR(INDEX(Fichier_initial,SMALL(IF(Id_Impression=$A105,ROW(Fichier_initial)-MIN(ROW(Fichier_initial))+1),COLUMNS($A105:G105))),"")</f>
        <v/>
      </c>
      <c r="K105" s="39" t="str">
        <f t="array" ref="K105">IFERROR(INDEX(Temps_Total,SMALL(IF(Id_Impression=$A105,ROW(Temps_Total)-MIN(ROW(Temps_Total))+1),COLUMNS($A$3:A105))),"")</f>
        <v/>
      </c>
      <c r="L105" s="39" t="str">
        <f t="array" ref="L105">IFERROR(INDEX(Temps_Total,SMALL(IF(Id_Impression=$A105,ROW(Temps_Total)-MIN(ROW(Temps_Total))+1),COLUMNS($A$3:B105))),"")</f>
        <v/>
      </c>
      <c r="M105" s="39" t="str">
        <f t="array" ref="M105">IFERROR(INDEX(Temps_Total,SMALL(IF(Id_Impression=$A105,ROW(Temps_Total)-MIN(ROW(Temps_Total))+1),COLUMNS($A$3:C105))),"")</f>
        <v/>
      </c>
      <c r="N105" s="39" t="str">
        <f t="array" ref="N105">IFERROR(INDEX(Temps_Total,SMALL(IF(Id_Impression=$A105,ROW(Temps_Total)-MIN(ROW(Temps_Total))+1),COLUMNS($A$3:D105))),"")</f>
        <v/>
      </c>
      <c r="O105" s="39" t="str">
        <f t="array" ref="O105">IFERROR(INDEX(Temps_Total,SMALL(IF(Id_Impression=$A105,ROW(Temps_Total)-MIN(ROW(Temps_Total))+1),COLUMNS($A$3:E105))),"")</f>
        <v/>
      </c>
      <c r="P105" s="39" t="str">
        <f t="array" ref="P105">IFERROR(INDEX(Temps_Total,SMALL(IF(Id_Impression=$A105,ROW(Temps_Total)-MIN(ROW(Temps_Total))+1),COLUMNS($A$3:F105))),"")</f>
        <v/>
      </c>
      <c r="Q105" s="39" t="str">
        <f t="array" ref="Q105">IFERROR(INDEX(Temps_Total,SMALL(IF(Id_Impression=$A105,ROW(Temps_Total)-MIN(ROW(Temps_Total))+1),COLUMNS($A$3:G105))),"")</f>
        <v/>
      </c>
      <c r="R105" s="38" t="str">
        <f t="array" ref="R105">IFERROR(INDEX(Quantité_à_imprimer_12_2017,SMALL(IF(Id_Impression=$A105,ROW(Quantité_à_imprimer_12_2017)-MIN(ROW(Quantité_à_imprimer_12_2017))+1),COLUMNS($A$3:A105))),"")</f>
        <v/>
      </c>
      <c r="S105" s="38" t="str">
        <f t="array" ref="S105">IFERROR(INDEX(Quantité_à_imprimer_12_2017,SMALL(IF(Id_Impression=$A105,ROW(Quantité_à_imprimer_12_2017)-MIN(ROW(Quantité_à_imprimer_12_2017))+1),COLUMNS($A$3:B105))),"")</f>
        <v/>
      </c>
      <c r="T105" s="38" t="str">
        <f t="array" ref="T105">IFERROR(INDEX(Quantité_à_imprimer_12_2017,SMALL(IF(Id_Impression=$A105,ROW(Quantité_à_imprimer_12_2017)-MIN(ROW(Quantité_à_imprimer_12_2017))+1),COLUMNS($A$3:C105))),"")</f>
        <v/>
      </c>
      <c r="U105" s="38" t="str">
        <f t="array" ref="U105">IFERROR(INDEX(Quantité_à_imprimer_12_2017,SMALL(IF(Id_Impression=$A105,ROW(Quantité_à_imprimer_12_2017)-MIN(ROW(Quantité_à_imprimer_12_2017))+1),COLUMNS($A$3:D105))),"")</f>
        <v/>
      </c>
      <c r="V105" s="38" t="str">
        <f t="array" ref="V105">IFERROR(INDEX(Quantité_à_imprimer_12_2017,SMALL(IF(Id_Impression=$A105,ROW(Quantité_à_imprimer_12_2017)-MIN(ROW(Quantité_à_imprimer_12_2017))+1),COLUMNS($A$3:E105))),"")</f>
        <v/>
      </c>
      <c r="W105" s="38" t="str">
        <f t="array" ref="W105">IFERROR(INDEX(Quantité_à_imprimer_12_2017,SMALL(IF(Id_Impression=$A105,ROW(Quantité_à_imprimer_12_2017)-MIN(ROW(Quantité_à_imprimer_12_2017))+1),COLUMNS($A$3:F105))),"")</f>
        <v/>
      </c>
      <c r="X105" s="38" t="str">
        <f t="array" ref="X105">IFERROR(INDEX(Quantité_à_imprimer_12_2017,SMALL(IF(Id_Impression=$A105,ROW(Quantité_à_imprimer_12_2017)-MIN(ROW(Quantité_à_imprimer_12_2017))+1),COLUMNS($A$3:G105))),"")</f>
        <v/>
      </c>
    </row>
    <row r="106" spans="1:24" x14ac:dyDescent="0.55000000000000004">
      <c r="A106" s="40">
        <v>105</v>
      </c>
      <c r="B106" s="36">
        <f t="shared" si="1"/>
        <v>0</v>
      </c>
      <c r="C106" s="37">
        <v>0</v>
      </c>
      <c r="D106" s="38" t="str">
        <f t="array" ref="D106">IFERROR(INDEX(Fichier_initial,SMALL(IF(Id_Impression=$A106,ROW(Fichier_initial)-MIN(ROW(Fichier_initial))+1),COLUMNS($A106:A106))),"")</f>
        <v/>
      </c>
      <c r="E106" s="38" t="str">
        <f t="array" ref="E106">IFERROR(INDEX(Fichier_initial,SMALL(IF(Id_Impression=$A106,ROW(Fichier_initial)-MIN(ROW(Fichier_initial))+1),COLUMNS($A106:B106))),"")</f>
        <v/>
      </c>
      <c r="F106" s="38" t="str">
        <f t="array" ref="F106">IFERROR(INDEX(Fichier_initial,SMALL(IF(Id_Impression=$A106,ROW(Fichier_initial)-MIN(ROW(Fichier_initial))+1),COLUMNS($A106:C106))),"")</f>
        <v/>
      </c>
      <c r="G106" s="38" t="str">
        <f t="array" ref="G106">IFERROR(INDEX(Fichier_initial,SMALL(IF(Id_Impression=$A106,ROW(Fichier_initial)-MIN(ROW(Fichier_initial))+1),COLUMNS($A106:D106))),"")</f>
        <v/>
      </c>
      <c r="H106" s="38" t="str">
        <f t="array" ref="H106">IFERROR(INDEX(Fichier_initial,SMALL(IF(Id_Impression=$A106,ROW(Fichier_initial)-MIN(ROW(Fichier_initial))+1),COLUMNS($A106:E106))),"")</f>
        <v/>
      </c>
      <c r="I106" s="38" t="str">
        <f t="array" ref="I106">IFERROR(INDEX(Fichier_initial,SMALL(IF(Id_Impression=$A106,ROW(Fichier_initial)-MIN(ROW(Fichier_initial))+1),COLUMNS($A106:F106))),"")</f>
        <v/>
      </c>
      <c r="J106" s="38" t="str">
        <f t="array" ref="J106">IFERROR(INDEX(Fichier_initial,SMALL(IF(Id_Impression=$A106,ROW(Fichier_initial)-MIN(ROW(Fichier_initial))+1),COLUMNS($A106:G106))),"")</f>
        <v/>
      </c>
      <c r="K106" s="39" t="str">
        <f t="array" ref="K106">IFERROR(INDEX(Temps_Total,SMALL(IF(Id_Impression=$A106,ROW(Temps_Total)-MIN(ROW(Temps_Total))+1),COLUMNS($A$3:A106))),"")</f>
        <v/>
      </c>
      <c r="L106" s="39" t="str">
        <f t="array" ref="L106">IFERROR(INDEX(Temps_Total,SMALL(IF(Id_Impression=$A106,ROW(Temps_Total)-MIN(ROW(Temps_Total))+1),COLUMNS($A$3:B106))),"")</f>
        <v/>
      </c>
      <c r="M106" s="39" t="str">
        <f t="array" ref="M106">IFERROR(INDEX(Temps_Total,SMALL(IF(Id_Impression=$A106,ROW(Temps_Total)-MIN(ROW(Temps_Total))+1),COLUMNS($A$3:C106))),"")</f>
        <v/>
      </c>
      <c r="N106" s="39" t="str">
        <f t="array" ref="N106">IFERROR(INDEX(Temps_Total,SMALL(IF(Id_Impression=$A106,ROW(Temps_Total)-MIN(ROW(Temps_Total))+1),COLUMNS($A$3:D106))),"")</f>
        <v/>
      </c>
      <c r="O106" s="39" t="str">
        <f t="array" ref="O106">IFERROR(INDEX(Temps_Total,SMALL(IF(Id_Impression=$A106,ROW(Temps_Total)-MIN(ROW(Temps_Total))+1),COLUMNS($A$3:E106))),"")</f>
        <v/>
      </c>
      <c r="P106" s="39" t="str">
        <f t="array" ref="P106">IFERROR(INDEX(Temps_Total,SMALL(IF(Id_Impression=$A106,ROW(Temps_Total)-MIN(ROW(Temps_Total))+1),COLUMNS($A$3:F106))),"")</f>
        <v/>
      </c>
      <c r="Q106" s="39" t="str">
        <f t="array" ref="Q106">IFERROR(INDEX(Temps_Total,SMALL(IF(Id_Impression=$A106,ROW(Temps_Total)-MIN(ROW(Temps_Total))+1),COLUMNS($A$3:G106))),"")</f>
        <v/>
      </c>
      <c r="R106" s="38" t="str">
        <f t="array" ref="R106">IFERROR(INDEX(Quantité_à_imprimer_12_2017,SMALL(IF(Id_Impression=$A106,ROW(Quantité_à_imprimer_12_2017)-MIN(ROW(Quantité_à_imprimer_12_2017))+1),COLUMNS($A$3:A106))),"")</f>
        <v/>
      </c>
      <c r="S106" s="38" t="str">
        <f t="array" ref="S106">IFERROR(INDEX(Quantité_à_imprimer_12_2017,SMALL(IF(Id_Impression=$A106,ROW(Quantité_à_imprimer_12_2017)-MIN(ROW(Quantité_à_imprimer_12_2017))+1),COLUMNS($A$3:B106))),"")</f>
        <v/>
      </c>
      <c r="T106" s="38" t="str">
        <f t="array" ref="T106">IFERROR(INDEX(Quantité_à_imprimer_12_2017,SMALL(IF(Id_Impression=$A106,ROW(Quantité_à_imprimer_12_2017)-MIN(ROW(Quantité_à_imprimer_12_2017))+1),COLUMNS($A$3:C106))),"")</f>
        <v/>
      </c>
      <c r="U106" s="38" t="str">
        <f t="array" ref="U106">IFERROR(INDEX(Quantité_à_imprimer_12_2017,SMALL(IF(Id_Impression=$A106,ROW(Quantité_à_imprimer_12_2017)-MIN(ROW(Quantité_à_imprimer_12_2017))+1),COLUMNS($A$3:D106))),"")</f>
        <v/>
      </c>
      <c r="V106" s="38" t="str">
        <f t="array" ref="V106">IFERROR(INDEX(Quantité_à_imprimer_12_2017,SMALL(IF(Id_Impression=$A106,ROW(Quantité_à_imprimer_12_2017)-MIN(ROW(Quantité_à_imprimer_12_2017))+1),COLUMNS($A$3:E106))),"")</f>
        <v/>
      </c>
      <c r="W106" s="38" t="str">
        <f t="array" ref="W106">IFERROR(INDEX(Quantité_à_imprimer_12_2017,SMALL(IF(Id_Impression=$A106,ROW(Quantité_à_imprimer_12_2017)-MIN(ROW(Quantité_à_imprimer_12_2017))+1),COLUMNS($A$3:F106))),"")</f>
        <v/>
      </c>
      <c r="X106" s="38" t="str">
        <f t="array" ref="X106">IFERROR(INDEX(Quantité_à_imprimer_12_2017,SMALL(IF(Id_Impression=$A106,ROW(Quantité_à_imprimer_12_2017)-MIN(ROW(Quantité_à_imprimer_12_2017))+1),COLUMNS($A$3:G106))),"")</f>
        <v/>
      </c>
    </row>
    <row r="107" spans="1:24" x14ac:dyDescent="0.55000000000000004">
      <c r="A107" s="40">
        <v>106</v>
      </c>
      <c r="B107" s="36">
        <f t="shared" si="1"/>
        <v>0</v>
      </c>
      <c r="C107" s="37">
        <v>0</v>
      </c>
      <c r="D107" s="38" t="str">
        <f t="array" ref="D107">IFERROR(INDEX(Fichier_initial,SMALL(IF(Id_Impression=$A107,ROW(Fichier_initial)-MIN(ROW(Fichier_initial))+1),COLUMNS($A107:A107))),"")</f>
        <v/>
      </c>
      <c r="E107" s="38" t="str">
        <f t="array" ref="E107">IFERROR(INDEX(Fichier_initial,SMALL(IF(Id_Impression=$A107,ROW(Fichier_initial)-MIN(ROW(Fichier_initial))+1),COLUMNS($A107:B107))),"")</f>
        <v/>
      </c>
      <c r="F107" s="38" t="str">
        <f t="array" ref="F107">IFERROR(INDEX(Fichier_initial,SMALL(IF(Id_Impression=$A107,ROW(Fichier_initial)-MIN(ROW(Fichier_initial))+1),COLUMNS($A107:C107))),"")</f>
        <v/>
      </c>
      <c r="G107" s="38" t="str">
        <f t="array" ref="G107">IFERROR(INDEX(Fichier_initial,SMALL(IF(Id_Impression=$A107,ROW(Fichier_initial)-MIN(ROW(Fichier_initial))+1),COLUMNS($A107:D107))),"")</f>
        <v/>
      </c>
      <c r="H107" s="38" t="str">
        <f t="array" ref="H107">IFERROR(INDEX(Fichier_initial,SMALL(IF(Id_Impression=$A107,ROW(Fichier_initial)-MIN(ROW(Fichier_initial))+1),COLUMNS($A107:E107))),"")</f>
        <v/>
      </c>
      <c r="I107" s="38" t="str">
        <f t="array" ref="I107">IFERROR(INDEX(Fichier_initial,SMALL(IF(Id_Impression=$A107,ROW(Fichier_initial)-MIN(ROW(Fichier_initial))+1),COLUMNS($A107:F107))),"")</f>
        <v/>
      </c>
      <c r="J107" s="38" t="str">
        <f t="array" ref="J107">IFERROR(INDEX(Fichier_initial,SMALL(IF(Id_Impression=$A107,ROW(Fichier_initial)-MIN(ROW(Fichier_initial))+1),COLUMNS($A107:G107))),"")</f>
        <v/>
      </c>
      <c r="K107" s="39" t="str">
        <f t="array" ref="K107">IFERROR(INDEX(Temps_Total,SMALL(IF(Id_Impression=$A107,ROW(Temps_Total)-MIN(ROW(Temps_Total))+1),COLUMNS($A$3:A107))),"")</f>
        <v/>
      </c>
      <c r="L107" s="39" t="str">
        <f t="array" ref="L107">IFERROR(INDEX(Temps_Total,SMALL(IF(Id_Impression=$A107,ROW(Temps_Total)-MIN(ROW(Temps_Total))+1),COLUMNS($A$3:B107))),"")</f>
        <v/>
      </c>
      <c r="M107" s="39" t="str">
        <f t="array" ref="M107">IFERROR(INDEX(Temps_Total,SMALL(IF(Id_Impression=$A107,ROW(Temps_Total)-MIN(ROW(Temps_Total))+1),COLUMNS($A$3:C107))),"")</f>
        <v/>
      </c>
      <c r="N107" s="39" t="str">
        <f t="array" ref="N107">IFERROR(INDEX(Temps_Total,SMALL(IF(Id_Impression=$A107,ROW(Temps_Total)-MIN(ROW(Temps_Total))+1),COLUMNS($A$3:D107))),"")</f>
        <v/>
      </c>
      <c r="O107" s="39" t="str">
        <f t="array" ref="O107">IFERROR(INDEX(Temps_Total,SMALL(IF(Id_Impression=$A107,ROW(Temps_Total)-MIN(ROW(Temps_Total))+1),COLUMNS($A$3:E107))),"")</f>
        <v/>
      </c>
      <c r="P107" s="39" t="str">
        <f t="array" ref="P107">IFERROR(INDEX(Temps_Total,SMALL(IF(Id_Impression=$A107,ROW(Temps_Total)-MIN(ROW(Temps_Total))+1),COLUMNS($A$3:F107))),"")</f>
        <v/>
      </c>
      <c r="Q107" s="39" t="str">
        <f t="array" ref="Q107">IFERROR(INDEX(Temps_Total,SMALL(IF(Id_Impression=$A107,ROW(Temps_Total)-MIN(ROW(Temps_Total))+1),COLUMNS($A$3:G107))),"")</f>
        <v/>
      </c>
      <c r="R107" s="38" t="str">
        <f t="array" ref="R107">IFERROR(INDEX(Quantité_à_imprimer_12_2017,SMALL(IF(Id_Impression=$A107,ROW(Quantité_à_imprimer_12_2017)-MIN(ROW(Quantité_à_imprimer_12_2017))+1),COLUMNS($A$3:A107))),"")</f>
        <v/>
      </c>
      <c r="S107" s="38" t="str">
        <f t="array" ref="S107">IFERROR(INDEX(Quantité_à_imprimer_12_2017,SMALL(IF(Id_Impression=$A107,ROW(Quantité_à_imprimer_12_2017)-MIN(ROW(Quantité_à_imprimer_12_2017))+1),COLUMNS($A$3:B107))),"")</f>
        <v/>
      </c>
      <c r="T107" s="38" t="str">
        <f t="array" ref="T107">IFERROR(INDEX(Quantité_à_imprimer_12_2017,SMALL(IF(Id_Impression=$A107,ROW(Quantité_à_imprimer_12_2017)-MIN(ROW(Quantité_à_imprimer_12_2017))+1),COLUMNS($A$3:C107))),"")</f>
        <v/>
      </c>
      <c r="U107" s="38" t="str">
        <f t="array" ref="U107">IFERROR(INDEX(Quantité_à_imprimer_12_2017,SMALL(IF(Id_Impression=$A107,ROW(Quantité_à_imprimer_12_2017)-MIN(ROW(Quantité_à_imprimer_12_2017))+1),COLUMNS($A$3:D107))),"")</f>
        <v/>
      </c>
      <c r="V107" s="38" t="str">
        <f t="array" ref="V107">IFERROR(INDEX(Quantité_à_imprimer_12_2017,SMALL(IF(Id_Impression=$A107,ROW(Quantité_à_imprimer_12_2017)-MIN(ROW(Quantité_à_imprimer_12_2017))+1),COLUMNS($A$3:E107))),"")</f>
        <v/>
      </c>
      <c r="W107" s="38" t="str">
        <f t="array" ref="W107">IFERROR(INDEX(Quantité_à_imprimer_12_2017,SMALL(IF(Id_Impression=$A107,ROW(Quantité_à_imprimer_12_2017)-MIN(ROW(Quantité_à_imprimer_12_2017))+1),COLUMNS($A$3:F107))),"")</f>
        <v/>
      </c>
      <c r="X107" s="38" t="str">
        <f t="array" ref="X107">IFERROR(INDEX(Quantité_à_imprimer_12_2017,SMALL(IF(Id_Impression=$A107,ROW(Quantité_à_imprimer_12_2017)-MIN(ROW(Quantité_à_imprimer_12_2017))+1),COLUMNS($A$3:G107))),"")</f>
        <v/>
      </c>
    </row>
    <row r="108" spans="1:24" x14ac:dyDescent="0.55000000000000004">
      <c r="A108" s="40">
        <v>107</v>
      </c>
      <c r="B108" s="36">
        <f t="shared" si="1"/>
        <v>0</v>
      </c>
      <c r="C108" s="37">
        <v>0</v>
      </c>
      <c r="D108" s="38" t="str">
        <f t="array" ref="D108">IFERROR(INDEX(Fichier_initial,SMALL(IF(Id_Impression=$A108,ROW(Fichier_initial)-MIN(ROW(Fichier_initial))+1),COLUMNS($A108:A108))),"")</f>
        <v/>
      </c>
      <c r="E108" s="38" t="str">
        <f t="array" ref="E108">IFERROR(INDEX(Fichier_initial,SMALL(IF(Id_Impression=$A108,ROW(Fichier_initial)-MIN(ROW(Fichier_initial))+1),COLUMNS($A108:B108))),"")</f>
        <v/>
      </c>
      <c r="F108" s="38" t="str">
        <f t="array" ref="F108">IFERROR(INDEX(Fichier_initial,SMALL(IF(Id_Impression=$A108,ROW(Fichier_initial)-MIN(ROW(Fichier_initial))+1),COLUMNS($A108:C108))),"")</f>
        <v/>
      </c>
      <c r="G108" s="38" t="str">
        <f t="array" ref="G108">IFERROR(INDEX(Fichier_initial,SMALL(IF(Id_Impression=$A108,ROW(Fichier_initial)-MIN(ROW(Fichier_initial))+1),COLUMNS($A108:D108))),"")</f>
        <v/>
      </c>
      <c r="H108" s="38" t="str">
        <f t="array" ref="H108">IFERROR(INDEX(Fichier_initial,SMALL(IF(Id_Impression=$A108,ROW(Fichier_initial)-MIN(ROW(Fichier_initial))+1),COLUMNS($A108:E108))),"")</f>
        <v/>
      </c>
      <c r="I108" s="38" t="str">
        <f t="array" ref="I108">IFERROR(INDEX(Fichier_initial,SMALL(IF(Id_Impression=$A108,ROW(Fichier_initial)-MIN(ROW(Fichier_initial))+1),COLUMNS($A108:F108))),"")</f>
        <v/>
      </c>
      <c r="J108" s="38" t="str">
        <f t="array" ref="J108">IFERROR(INDEX(Fichier_initial,SMALL(IF(Id_Impression=$A108,ROW(Fichier_initial)-MIN(ROW(Fichier_initial))+1),COLUMNS($A108:G108))),"")</f>
        <v/>
      </c>
      <c r="K108" s="39" t="str">
        <f t="array" ref="K108">IFERROR(INDEX(Temps_Total,SMALL(IF(Id_Impression=$A108,ROW(Temps_Total)-MIN(ROW(Temps_Total))+1),COLUMNS($A$3:A108))),"")</f>
        <v/>
      </c>
      <c r="L108" s="39" t="str">
        <f t="array" ref="L108">IFERROR(INDEX(Temps_Total,SMALL(IF(Id_Impression=$A108,ROW(Temps_Total)-MIN(ROW(Temps_Total))+1),COLUMNS($A$3:B108))),"")</f>
        <v/>
      </c>
      <c r="M108" s="39" t="str">
        <f t="array" ref="M108">IFERROR(INDEX(Temps_Total,SMALL(IF(Id_Impression=$A108,ROW(Temps_Total)-MIN(ROW(Temps_Total))+1),COLUMNS($A$3:C108))),"")</f>
        <v/>
      </c>
      <c r="N108" s="39" t="str">
        <f t="array" ref="N108">IFERROR(INDEX(Temps_Total,SMALL(IF(Id_Impression=$A108,ROW(Temps_Total)-MIN(ROW(Temps_Total))+1),COLUMNS($A$3:D108))),"")</f>
        <v/>
      </c>
      <c r="O108" s="39" t="str">
        <f t="array" ref="O108">IFERROR(INDEX(Temps_Total,SMALL(IF(Id_Impression=$A108,ROW(Temps_Total)-MIN(ROW(Temps_Total))+1),COLUMNS($A$3:E108))),"")</f>
        <v/>
      </c>
      <c r="P108" s="39" t="str">
        <f t="array" ref="P108">IFERROR(INDEX(Temps_Total,SMALL(IF(Id_Impression=$A108,ROW(Temps_Total)-MIN(ROW(Temps_Total))+1),COLUMNS($A$3:F108))),"")</f>
        <v/>
      </c>
      <c r="Q108" s="39" t="str">
        <f t="array" ref="Q108">IFERROR(INDEX(Temps_Total,SMALL(IF(Id_Impression=$A108,ROW(Temps_Total)-MIN(ROW(Temps_Total))+1),COLUMNS($A$3:G108))),"")</f>
        <v/>
      </c>
      <c r="R108" s="38" t="str">
        <f t="array" ref="R108">IFERROR(INDEX(Quantité_à_imprimer_12_2017,SMALL(IF(Id_Impression=$A108,ROW(Quantité_à_imprimer_12_2017)-MIN(ROW(Quantité_à_imprimer_12_2017))+1),COLUMNS($A$3:A108))),"")</f>
        <v/>
      </c>
      <c r="S108" s="38" t="str">
        <f t="array" ref="S108">IFERROR(INDEX(Quantité_à_imprimer_12_2017,SMALL(IF(Id_Impression=$A108,ROW(Quantité_à_imprimer_12_2017)-MIN(ROW(Quantité_à_imprimer_12_2017))+1),COLUMNS($A$3:B108))),"")</f>
        <v/>
      </c>
      <c r="T108" s="38" t="str">
        <f t="array" ref="T108">IFERROR(INDEX(Quantité_à_imprimer_12_2017,SMALL(IF(Id_Impression=$A108,ROW(Quantité_à_imprimer_12_2017)-MIN(ROW(Quantité_à_imprimer_12_2017))+1),COLUMNS($A$3:C108))),"")</f>
        <v/>
      </c>
      <c r="U108" s="38" t="str">
        <f t="array" ref="U108">IFERROR(INDEX(Quantité_à_imprimer_12_2017,SMALL(IF(Id_Impression=$A108,ROW(Quantité_à_imprimer_12_2017)-MIN(ROW(Quantité_à_imprimer_12_2017))+1),COLUMNS($A$3:D108))),"")</f>
        <v/>
      </c>
      <c r="V108" s="38" t="str">
        <f t="array" ref="V108">IFERROR(INDEX(Quantité_à_imprimer_12_2017,SMALL(IF(Id_Impression=$A108,ROW(Quantité_à_imprimer_12_2017)-MIN(ROW(Quantité_à_imprimer_12_2017))+1),COLUMNS($A$3:E108))),"")</f>
        <v/>
      </c>
      <c r="W108" s="38" t="str">
        <f t="array" ref="W108">IFERROR(INDEX(Quantité_à_imprimer_12_2017,SMALL(IF(Id_Impression=$A108,ROW(Quantité_à_imprimer_12_2017)-MIN(ROW(Quantité_à_imprimer_12_2017))+1),COLUMNS($A$3:F108))),"")</f>
        <v/>
      </c>
      <c r="X108" s="38" t="str">
        <f t="array" ref="X108">IFERROR(INDEX(Quantité_à_imprimer_12_2017,SMALL(IF(Id_Impression=$A108,ROW(Quantité_à_imprimer_12_2017)-MIN(ROW(Quantité_à_imprimer_12_2017))+1),COLUMNS($A$3:G108))),"")</f>
        <v/>
      </c>
    </row>
    <row r="109" spans="1:24" x14ac:dyDescent="0.55000000000000004">
      <c r="A109" s="40">
        <v>108</v>
      </c>
      <c r="B109" s="36">
        <f t="shared" si="1"/>
        <v>0</v>
      </c>
      <c r="C109" s="37">
        <v>0</v>
      </c>
      <c r="D109" s="38" t="str">
        <f t="array" ref="D109">IFERROR(INDEX(Fichier_initial,SMALL(IF(Id_Impression=$A109,ROW(Fichier_initial)-MIN(ROW(Fichier_initial))+1),COLUMNS($A109:A109))),"")</f>
        <v/>
      </c>
      <c r="E109" s="38" t="str">
        <f t="array" ref="E109">IFERROR(INDEX(Fichier_initial,SMALL(IF(Id_Impression=$A109,ROW(Fichier_initial)-MIN(ROW(Fichier_initial))+1),COLUMNS($A109:B109))),"")</f>
        <v/>
      </c>
      <c r="F109" s="38" t="str">
        <f t="array" ref="F109">IFERROR(INDEX(Fichier_initial,SMALL(IF(Id_Impression=$A109,ROW(Fichier_initial)-MIN(ROW(Fichier_initial))+1),COLUMNS($A109:C109))),"")</f>
        <v/>
      </c>
      <c r="G109" s="38" t="str">
        <f t="array" ref="G109">IFERROR(INDEX(Fichier_initial,SMALL(IF(Id_Impression=$A109,ROW(Fichier_initial)-MIN(ROW(Fichier_initial))+1),COLUMNS($A109:D109))),"")</f>
        <v/>
      </c>
      <c r="H109" s="38" t="str">
        <f t="array" ref="H109">IFERROR(INDEX(Fichier_initial,SMALL(IF(Id_Impression=$A109,ROW(Fichier_initial)-MIN(ROW(Fichier_initial))+1),COLUMNS($A109:E109))),"")</f>
        <v/>
      </c>
      <c r="I109" s="38" t="str">
        <f t="array" ref="I109">IFERROR(INDEX(Fichier_initial,SMALL(IF(Id_Impression=$A109,ROW(Fichier_initial)-MIN(ROW(Fichier_initial))+1),COLUMNS($A109:F109))),"")</f>
        <v/>
      </c>
      <c r="J109" s="38" t="str">
        <f t="array" ref="J109">IFERROR(INDEX(Fichier_initial,SMALL(IF(Id_Impression=$A109,ROW(Fichier_initial)-MIN(ROW(Fichier_initial))+1),COLUMNS($A109:G109))),"")</f>
        <v/>
      </c>
      <c r="K109" s="39" t="str">
        <f t="array" ref="K109">IFERROR(INDEX(Temps_Total,SMALL(IF(Id_Impression=$A109,ROW(Temps_Total)-MIN(ROW(Temps_Total))+1),COLUMNS($A$3:A109))),"")</f>
        <v/>
      </c>
      <c r="L109" s="39" t="str">
        <f t="array" ref="L109">IFERROR(INDEX(Temps_Total,SMALL(IF(Id_Impression=$A109,ROW(Temps_Total)-MIN(ROW(Temps_Total))+1),COLUMNS($A$3:B109))),"")</f>
        <v/>
      </c>
      <c r="M109" s="39" t="str">
        <f t="array" ref="M109">IFERROR(INDEX(Temps_Total,SMALL(IF(Id_Impression=$A109,ROW(Temps_Total)-MIN(ROW(Temps_Total))+1),COLUMNS($A$3:C109))),"")</f>
        <v/>
      </c>
      <c r="N109" s="39" t="str">
        <f t="array" ref="N109">IFERROR(INDEX(Temps_Total,SMALL(IF(Id_Impression=$A109,ROW(Temps_Total)-MIN(ROW(Temps_Total))+1),COLUMNS($A$3:D109))),"")</f>
        <v/>
      </c>
      <c r="O109" s="39" t="str">
        <f t="array" ref="O109">IFERROR(INDEX(Temps_Total,SMALL(IF(Id_Impression=$A109,ROW(Temps_Total)-MIN(ROW(Temps_Total))+1),COLUMNS($A$3:E109))),"")</f>
        <v/>
      </c>
      <c r="P109" s="39" t="str">
        <f t="array" ref="P109">IFERROR(INDEX(Temps_Total,SMALL(IF(Id_Impression=$A109,ROW(Temps_Total)-MIN(ROW(Temps_Total))+1),COLUMNS($A$3:F109))),"")</f>
        <v/>
      </c>
      <c r="Q109" s="39" t="str">
        <f t="array" ref="Q109">IFERROR(INDEX(Temps_Total,SMALL(IF(Id_Impression=$A109,ROW(Temps_Total)-MIN(ROW(Temps_Total))+1),COLUMNS($A$3:G109))),"")</f>
        <v/>
      </c>
      <c r="R109" s="38" t="str">
        <f t="array" ref="R109">IFERROR(INDEX(Quantité_à_imprimer_12_2017,SMALL(IF(Id_Impression=$A109,ROW(Quantité_à_imprimer_12_2017)-MIN(ROW(Quantité_à_imprimer_12_2017))+1),COLUMNS($A$3:A109))),"")</f>
        <v/>
      </c>
      <c r="S109" s="38" t="str">
        <f t="array" ref="S109">IFERROR(INDEX(Quantité_à_imprimer_12_2017,SMALL(IF(Id_Impression=$A109,ROW(Quantité_à_imprimer_12_2017)-MIN(ROW(Quantité_à_imprimer_12_2017))+1),COLUMNS($A$3:B109))),"")</f>
        <v/>
      </c>
      <c r="T109" s="38" t="str">
        <f t="array" ref="T109">IFERROR(INDEX(Quantité_à_imprimer_12_2017,SMALL(IF(Id_Impression=$A109,ROW(Quantité_à_imprimer_12_2017)-MIN(ROW(Quantité_à_imprimer_12_2017))+1),COLUMNS($A$3:C109))),"")</f>
        <v/>
      </c>
      <c r="U109" s="38" t="str">
        <f t="array" ref="U109">IFERROR(INDEX(Quantité_à_imprimer_12_2017,SMALL(IF(Id_Impression=$A109,ROW(Quantité_à_imprimer_12_2017)-MIN(ROW(Quantité_à_imprimer_12_2017))+1),COLUMNS($A$3:D109))),"")</f>
        <v/>
      </c>
      <c r="V109" s="38" t="str">
        <f t="array" ref="V109">IFERROR(INDEX(Quantité_à_imprimer_12_2017,SMALL(IF(Id_Impression=$A109,ROW(Quantité_à_imprimer_12_2017)-MIN(ROW(Quantité_à_imprimer_12_2017))+1),COLUMNS($A$3:E109))),"")</f>
        <v/>
      </c>
      <c r="W109" s="38" t="str">
        <f t="array" ref="W109">IFERROR(INDEX(Quantité_à_imprimer_12_2017,SMALL(IF(Id_Impression=$A109,ROW(Quantité_à_imprimer_12_2017)-MIN(ROW(Quantité_à_imprimer_12_2017))+1),COLUMNS($A$3:F109))),"")</f>
        <v/>
      </c>
      <c r="X109" s="38" t="str">
        <f t="array" ref="X109">IFERROR(INDEX(Quantité_à_imprimer_12_2017,SMALL(IF(Id_Impression=$A109,ROW(Quantité_à_imprimer_12_2017)-MIN(ROW(Quantité_à_imprimer_12_2017))+1),COLUMNS($A$3:G109))),"")</f>
        <v/>
      </c>
    </row>
    <row r="110" spans="1:24" ht="14.7" thickBot="1" x14ac:dyDescent="0.6">
      <c r="A110" s="41">
        <v>109</v>
      </c>
      <c r="B110" s="36">
        <f t="shared" si="1"/>
        <v>0</v>
      </c>
      <c r="C110" s="37">
        <v>0</v>
      </c>
      <c r="D110" s="38" t="str">
        <f t="array" ref="D110">IFERROR(INDEX(Fichier_initial,SMALL(IF(Id_Impression=$A110,ROW(Fichier_initial)-MIN(ROW(Fichier_initial))+1),COLUMNS($A110:A110))),"")</f>
        <v/>
      </c>
      <c r="E110" s="38" t="str">
        <f t="array" ref="E110">IFERROR(INDEX(Fichier_initial,SMALL(IF(Id_Impression=$A110,ROW(Fichier_initial)-MIN(ROW(Fichier_initial))+1),COLUMNS($A110:B110))),"")</f>
        <v/>
      </c>
      <c r="F110" s="38" t="str">
        <f t="array" ref="F110">IFERROR(INDEX(Fichier_initial,SMALL(IF(Id_Impression=$A110,ROW(Fichier_initial)-MIN(ROW(Fichier_initial))+1),COLUMNS($A110:C110))),"")</f>
        <v/>
      </c>
      <c r="G110" s="38" t="str">
        <f t="array" ref="G110">IFERROR(INDEX(Fichier_initial,SMALL(IF(Id_Impression=$A110,ROW(Fichier_initial)-MIN(ROW(Fichier_initial))+1),COLUMNS($A110:D110))),"")</f>
        <v/>
      </c>
      <c r="H110" s="38" t="str">
        <f t="array" ref="H110">IFERROR(INDEX(Fichier_initial,SMALL(IF(Id_Impression=$A110,ROW(Fichier_initial)-MIN(ROW(Fichier_initial))+1),COLUMNS($A110:E110))),"")</f>
        <v/>
      </c>
      <c r="I110" s="38" t="str">
        <f t="array" ref="I110">IFERROR(INDEX(Fichier_initial,SMALL(IF(Id_Impression=$A110,ROW(Fichier_initial)-MIN(ROW(Fichier_initial))+1),COLUMNS($A110:F110))),"")</f>
        <v/>
      </c>
      <c r="J110" s="38" t="str">
        <f t="array" ref="J110">IFERROR(INDEX(Fichier_initial,SMALL(IF(Id_Impression=$A110,ROW(Fichier_initial)-MIN(ROW(Fichier_initial))+1),COLUMNS($A110:G110))),"")</f>
        <v/>
      </c>
      <c r="K110" s="39" t="str">
        <f t="array" ref="K110">IFERROR(INDEX(Temps_Total,SMALL(IF(Id_Impression=$A110,ROW(Temps_Total)-MIN(ROW(Temps_Total))+1),COLUMNS($A$3:A110))),"")</f>
        <v/>
      </c>
      <c r="L110" s="39" t="str">
        <f t="array" ref="L110">IFERROR(INDEX(Temps_Total,SMALL(IF(Id_Impression=$A110,ROW(Temps_Total)-MIN(ROW(Temps_Total))+1),COLUMNS($A$3:B110))),"")</f>
        <v/>
      </c>
      <c r="M110" s="39" t="str">
        <f t="array" ref="M110">IFERROR(INDEX(Temps_Total,SMALL(IF(Id_Impression=$A110,ROW(Temps_Total)-MIN(ROW(Temps_Total))+1),COLUMNS($A$3:C110))),"")</f>
        <v/>
      </c>
      <c r="N110" s="39" t="str">
        <f t="array" ref="N110">IFERROR(INDEX(Temps_Total,SMALL(IF(Id_Impression=$A110,ROW(Temps_Total)-MIN(ROW(Temps_Total))+1),COLUMNS($A$3:D110))),"")</f>
        <v/>
      </c>
      <c r="O110" s="39" t="str">
        <f t="array" ref="O110">IFERROR(INDEX(Temps_Total,SMALL(IF(Id_Impression=$A110,ROW(Temps_Total)-MIN(ROW(Temps_Total))+1),COLUMNS($A$3:E110))),"")</f>
        <v/>
      </c>
      <c r="P110" s="39" t="str">
        <f t="array" ref="P110">IFERROR(INDEX(Temps_Total,SMALL(IF(Id_Impression=$A110,ROW(Temps_Total)-MIN(ROW(Temps_Total))+1),COLUMNS($A$3:F110))),"")</f>
        <v/>
      </c>
      <c r="Q110" s="39" t="str">
        <f t="array" ref="Q110">IFERROR(INDEX(Temps_Total,SMALL(IF(Id_Impression=$A110,ROW(Temps_Total)-MIN(ROW(Temps_Total))+1),COLUMNS($A$3:G110))),"")</f>
        <v/>
      </c>
      <c r="R110" s="38" t="str">
        <f t="array" ref="R110">IFERROR(INDEX(Quantité_à_imprimer_12_2017,SMALL(IF(Id_Impression=$A110,ROW(Quantité_à_imprimer_12_2017)-MIN(ROW(Quantité_à_imprimer_12_2017))+1),COLUMNS($A$3:A110))),"")</f>
        <v/>
      </c>
      <c r="S110" s="38" t="str">
        <f t="array" ref="S110">IFERROR(INDEX(Quantité_à_imprimer_12_2017,SMALL(IF(Id_Impression=$A110,ROW(Quantité_à_imprimer_12_2017)-MIN(ROW(Quantité_à_imprimer_12_2017))+1),COLUMNS($A$3:B110))),"")</f>
        <v/>
      </c>
      <c r="T110" s="38" t="str">
        <f t="array" ref="T110">IFERROR(INDEX(Quantité_à_imprimer_12_2017,SMALL(IF(Id_Impression=$A110,ROW(Quantité_à_imprimer_12_2017)-MIN(ROW(Quantité_à_imprimer_12_2017))+1),COLUMNS($A$3:C110))),"")</f>
        <v/>
      </c>
      <c r="U110" s="38" t="str">
        <f t="array" ref="U110">IFERROR(INDEX(Quantité_à_imprimer_12_2017,SMALL(IF(Id_Impression=$A110,ROW(Quantité_à_imprimer_12_2017)-MIN(ROW(Quantité_à_imprimer_12_2017))+1),COLUMNS($A$3:D110))),"")</f>
        <v/>
      </c>
      <c r="V110" s="38" t="str">
        <f t="array" ref="V110">IFERROR(INDEX(Quantité_à_imprimer_12_2017,SMALL(IF(Id_Impression=$A110,ROW(Quantité_à_imprimer_12_2017)-MIN(ROW(Quantité_à_imprimer_12_2017))+1),COLUMNS($A$3:E110))),"")</f>
        <v/>
      </c>
      <c r="W110" s="38" t="str">
        <f t="array" ref="W110">IFERROR(INDEX(Quantité_à_imprimer_12_2017,SMALL(IF(Id_Impression=$A110,ROW(Quantité_à_imprimer_12_2017)-MIN(ROW(Quantité_à_imprimer_12_2017))+1),COLUMNS($A$3:F110))),"")</f>
        <v/>
      </c>
      <c r="X110" s="38" t="str">
        <f t="array" ref="X110">IFERROR(INDEX(Quantité_à_imprimer_12_2017,SMALL(IF(Id_Impression=$A110,ROW(Quantité_à_imprimer_12_2017)-MIN(ROW(Quantité_à_imprimer_12_2017))+1),COLUMNS($A$3:G110))),"")</f>
        <v/>
      </c>
    </row>
  </sheetData>
  <mergeCells count="3">
    <mergeCell ref="D1:J1"/>
    <mergeCell ref="K1:Q1"/>
    <mergeCell ref="R1:X1"/>
  </mergeCells>
  <conditionalFormatting sqref="R3:X110">
    <cfRule type="cellIs" dxfId="0" priority="3" stopIfTrue="1" operator="between">
      <formula>2</formula>
      <formula>10</formula>
    </cfRule>
  </conditionalFormatting>
  <conditionalFormatting sqref="B3:B109">
    <cfRule type="colorScale" priority="2">
      <colorScale>
        <cfvo type="percentile" val="10"/>
        <cfvo type="percentile" val="50"/>
        <cfvo type="max"/>
        <color rgb="FF5A8AC6"/>
        <color rgb="FFFCFCFF"/>
        <color rgb="FFF8696B"/>
      </colorScale>
    </cfRule>
  </conditionalFormatting>
  <conditionalFormatting sqref="B3:B110">
    <cfRule type="cellIs" priority="1" stopIfTrue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O299"/>
  <sheetViews>
    <sheetView zoomScale="107" zoomScaleNormal="107" workbookViewId="0">
      <selection activeCell="G1" sqref="G1:J10"/>
    </sheetView>
  </sheetViews>
  <sheetFormatPr baseColWidth="10" defaultRowHeight="14.4" x14ac:dyDescent="0.55000000000000004"/>
  <cols>
    <col min="1" max="1" width="12.5234375" bestFit="1" customWidth="1"/>
    <col min="2" max="2" width="22.1015625" style="45" bestFit="1" customWidth="1"/>
    <col min="3" max="3" width="22.1015625" style="45" customWidth="1"/>
    <col min="12" max="12" width="10.62890625" customWidth="1"/>
    <col min="15" max="15" width="21.578125" customWidth="1"/>
  </cols>
  <sheetData>
    <row r="1" spans="1:15" ht="15" thickTop="1" thickBot="1" x14ac:dyDescent="0.6">
      <c r="A1" s="78" t="s">
        <v>290</v>
      </c>
      <c r="B1" s="81" t="s">
        <v>271</v>
      </c>
      <c r="C1" s="81" t="s">
        <v>275</v>
      </c>
      <c r="D1" s="78" t="s">
        <v>287</v>
      </c>
      <c r="E1" s="78" t="s">
        <v>266</v>
      </c>
      <c r="F1" s="78" t="s">
        <v>269</v>
      </c>
      <c r="G1" s="89" t="s">
        <v>278</v>
      </c>
      <c r="H1" s="89" t="s">
        <v>281</v>
      </c>
      <c r="I1" s="93" t="s">
        <v>278</v>
      </c>
      <c r="J1" s="93" t="s">
        <v>281</v>
      </c>
      <c r="L1" s="78" t="s">
        <v>282</v>
      </c>
      <c r="M1" s="78" t="s">
        <v>292</v>
      </c>
      <c r="N1" s="82"/>
      <c r="O1" t="s">
        <v>277</v>
      </c>
    </row>
    <row r="2" spans="1:15" ht="14.7" thickTop="1" x14ac:dyDescent="0.55000000000000004">
      <c r="A2" s="42" t="s">
        <v>15</v>
      </c>
      <c r="B2" s="79">
        <f t="shared" ref="B2:B10" si="0">SUMIFS(Temps_Total,Categorie,$A2,Quantité_à_imprimer_12_2017,"&lt;&gt;0")</f>
        <v>1.9465277777777779</v>
      </c>
      <c r="C2" s="80">
        <f t="array" ref="C2">SUM(IF(FREQUENCY(IF(Id_Impression&lt;&gt;0,IF(Categorie=A2,Id_Impression,FALSE),FALSE),O2:O312)&lt;&gt;0,FREQUENCY(IF(Id_Impression&lt;&gt;0,IF(Categorie=A2,Id_Impression,FALSE),FALSE),O2:O312)/FREQUENCY(IF(Id_Impression&lt;&gt;0,IF(Categorie=A2,Id_Impression,FALSE),FALSE),O2:O312),0))</f>
        <v>10</v>
      </c>
      <c r="D2" s="76">
        <v>0</v>
      </c>
      <c r="E2" s="76">
        <f t="array" ref="E2">SUMIFS(Quantité_à_imprimer_12_2017,Categorie,A2,Quantité_à_imprimer_12_2017,"&lt;&gt;0")</f>
        <v>15</v>
      </c>
      <c r="F2" s="76">
        <f t="shared" ref="F2:F10" si="1">SUMIFS(Poids_total__g,Categorie,A2,Quantité_à_imprimer_12_2017,"&lt;&gt;0")</f>
        <v>397.4</v>
      </c>
      <c r="G2" s="90">
        <f>L2</f>
        <v>42983</v>
      </c>
      <c r="H2" s="90">
        <f>WORKDAY(G2,C2,$M$2:$M$19)-1</f>
        <v>42996</v>
      </c>
      <c r="I2" s="94">
        <f>L2</f>
        <v>42983</v>
      </c>
      <c r="J2" s="94">
        <f t="shared" ref="J2:J10" si="2">WORKDAY(I2,C2/2,$M$3:$M$24)-1</f>
        <v>42989</v>
      </c>
      <c r="L2" s="83">
        <v>42983</v>
      </c>
      <c r="M2" s="83">
        <v>43029</v>
      </c>
      <c r="N2" t="s">
        <v>283</v>
      </c>
      <c r="O2">
        <v>0</v>
      </c>
    </row>
    <row r="3" spans="1:15" ht="13.5" customHeight="1" x14ac:dyDescent="0.55000000000000004">
      <c r="A3" s="5" t="s">
        <v>280</v>
      </c>
      <c r="B3" s="79">
        <f t="shared" si="0"/>
        <v>0.95138888888888884</v>
      </c>
      <c r="C3" s="80">
        <f t="array" ref="C3">SUM(IF(FREQUENCY(IF(Id_Impression&lt;&gt;0,IF(Categorie=A3,Id_Impression,FALSE),FALSE),O3:O313)&lt;&gt;0,FREQUENCY(IF(Id_Impression&lt;&gt;0,IF(Categorie=A3,Id_Impression,FALSE),FALSE),O3:O313)/FREQUENCY(IF(Id_Impression&lt;&gt;0,IF(Categorie=A3,Id_Impression,FALSE),FALSE),O3:O313),0))</f>
        <v>5</v>
      </c>
      <c r="D3" s="76">
        <f>IF(_xlfn.MAXIFS(Id_Impression,Categorie,A2,Quantité_à_imprimer_12_2017,"&lt;&gt;0")-_xlfn.MINIFS(Id_Impression,Categorie,A3,Quantité_à_imprimer_12_2017,"&lt;&gt;0")+1&lt;0,0,_xlfn.MAXIFS(Id_Impression,Categorie,A2,Quantité_à_imprimer_12_2017,"&lt;&gt;0")-_xlfn.MINIFS(Id_Impression,Categorie,A3,Quantité_à_imprimer_12_2017,"&lt;&gt;0")+1)</f>
        <v>0</v>
      </c>
      <c r="E3" s="76">
        <f t="shared" ref="E3:E10" si="3">SUMIFS(Quantité_à_imprimer_12_2017,Categorie,A3,Quantité_à_imprimer_12_2017,"&lt;&gt;0")</f>
        <v>8</v>
      </c>
      <c r="F3" s="76">
        <f t="shared" si="1"/>
        <v>198.48000000000002</v>
      </c>
      <c r="G3" s="91">
        <f>$H2+1-D3</f>
        <v>42997</v>
      </c>
      <c r="H3" s="90">
        <f t="shared" ref="H3:H10" si="4">WORKDAY(G3,C3,$M$2:$M$19)-1</f>
        <v>43003</v>
      </c>
      <c r="I3" s="95">
        <f t="shared" ref="I3:I10" si="5">$J2+1-D3</f>
        <v>42990</v>
      </c>
      <c r="J3" s="94">
        <f t="shared" si="2"/>
        <v>42991</v>
      </c>
      <c r="M3" s="83">
        <v>43030</v>
      </c>
      <c r="O3">
        <v>1</v>
      </c>
    </row>
    <row r="4" spans="1:15" x14ac:dyDescent="0.55000000000000004">
      <c r="A4" s="5" t="s">
        <v>279</v>
      </c>
      <c r="B4" s="79">
        <f t="shared" si="0"/>
        <v>0.41388888888888886</v>
      </c>
      <c r="C4" s="80">
        <f t="array" ref="C4">SUM(IF(FREQUENCY(IF(Id_Impression&lt;&gt;0,IF(Categorie=A4,Id_Impression,FALSE),FALSE),O4:O314)&lt;&gt;0,FREQUENCY(IF(Id_Impression&lt;&gt;0,IF(Categorie=A4,Id_Impression,FALSE),FALSE),O4:O314)/FREQUENCY(IF(Id_Impression&lt;&gt;0,IF(Categorie=A4,Id_Impression,FALSE),FALSE),O4:O314),0))</f>
        <v>3</v>
      </c>
      <c r="D4" s="76">
        <f t="array" ref="D4">IF(_xlfn.MAXIFS(Id_Impression,Categorie,A3,Quantité_à_imprimer_12_2017,"&lt;&gt;0")-_xlfn.MINIFS(Id_Impression,Categorie,A4,Quantité_à_imprimer_12_2017,"&lt;&gt;0")+1&lt;0,0,_xlfn.MAXIFS(Id_Impression,Categorie,A3,Quantité_à_imprimer_12_2017,"&lt;&gt;0")-_xlfn.MINIFS(Id_Impression,Categorie,A4,Quantité_à_imprimer_12_2017,"&lt;&gt;0")+1)</f>
        <v>1</v>
      </c>
      <c r="E4" s="76">
        <f t="shared" si="3"/>
        <v>5</v>
      </c>
      <c r="F4" s="76">
        <f t="shared" si="1"/>
        <v>83.78</v>
      </c>
      <c r="G4" s="91">
        <f>$H3+1-D4</f>
        <v>43003</v>
      </c>
      <c r="H4" s="90">
        <f t="shared" si="4"/>
        <v>43005</v>
      </c>
      <c r="I4" s="95">
        <f t="shared" si="5"/>
        <v>42991</v>
      </c>
      <c r="J4" s="94">
        <f t="shared" si="2"/>
        <v>42991</v>
      </c>
      <c r="M4" s="83">
        <v>43031</v>
      </c>
      <c r="O4">
        <v>2</v>
      </c>
    </row>
    <row r="5" spans="1:15" x14ac:dyDescent="0.55000000000000004">
      <c r="A5" s="5" t="s">
        <v>59</v>
      </c>
      <c r="B5" s="79">
        <f t="shared" si="0"/>
        <v>2.3840277777777779</v>
      </c>
      <c r="C5" s="80">
        <f t="array" ref="C5">SUM(IF(FREQUENCY(IF(Id_Impression&lt;&gt;0,IF(Categorie=A5,Id_Impression,FALSE),FALSE),O5:O315)&lt;&gt;0,FREQUENCY(IF(Id_Impression&lt;&gt;0,IF(Categorie=A5,Id_Impression,FALSE),FALSE),O5:O315)/FREQUENCY(IF(Id_Impression&lt;&gt;0,IF(Categorie=A5,Id_Impression,FALSE),FALSE),O5:O315),0))</f>
        <v>12</v>
      </c>
      <c r="D5" s="76">
        <f t="array" ref="D5">IF(_xlfn.MAXIFS(Id_Impression,Categorie,A4,Quantité_à_imprimer_12_2017,"&lt;&gt;0")-_xlfn.MINIFS(Id_Impression,Categorie,A5,Quantité_à_imprimer_12_2017,"&lt;&gt;0")+1&lt;0,0,_xlfn.MAXIFS(Id_Impression,Categorie,A4,Quantité_à_imprimer_12_2017,"&lt;&gt;0")-_xlfn.MINIFS(Id_Impression,Categorie,A5,Quantité_à_imprimer_12_2017,"&lt;&gt;0")+1)</f>
        <v>0</v>
      </c>
      <c r="E5" s="76">
        <f t="shared" si="3"/>
        <v>23</v>
      </c>
      <c r="F5" s="76">
        <f t="shared" si="1"/>
        <v>553.07000000000005</v>
      </c>
      <c r="G5" s="91">
        <f t="shared" ref="G5:G10" si="6">$H4+1-D5</f>
        <v>43006</v>
      </c>
      <c r="H5" s="90">
        <f t="shared" si="4"/>
        <v>43023</v>
      </c>
      <c r="I5" s="95">
        <f t="shared" si="5"/>
        <v>42992</v>
      </c>
      <c r="J5" s="94">
        <f t="shared" si="2"/>
        <v>42999</v>
      </c>
      <c r="M5" s="83">
        <v>43032</v>
      </c>
      <c r="O5">
        <v>3</v>
      </c>
    </row>
    <row r="6" spans="1:15" x14ac:dyDescent="0.55000000000000004">
      <c r="A6" s="5" t="s">
        <v>70</v>
      </c>
      <c r="B6" s="79">
        <f t="shared" si="0"/>
        <v>1.5069444444444444</v>
      </c>
      <c r="C6" s="80">
        <f t="array" ref="C6">SUM(IF(FREQUENCY(IF(Id_Impression&lt;&gt;0,IF(Categorie=A6,Id_Impression,FALSE),FALSE),O6:O316)&lt;&gt;0,FREQUENCY(IF(Id_Impression&lt;&gt;0,IF(Categorie=A6,Id_Impression,FALSE),FALSE),O6:O316)/FREQUENCY(IF(Id_Impression&lt;&gt;0,IF(Categorie=A6,Id_Impression,FALSE),FALSE),O6:O316),0))</f>
        <v>10</v>
      </c>
      <c r="D6" s="76">
        <f t="array" ref="D6">IF(_xlfn.MAXIFS(Id_Impression,Categorie,A5,Quantité_à_imprimer_12_2017,"&lt;&gt;0")-_xlfn.MINIFS(Id_Impression,Categorie,A6,Quantité_à_imprimer_12_2017,"&lt;&gt;0")+1&lt;0,0,_xlfn.MAXIFS(Id_Impression,Categorie,A5,Quantité_à_imprimer_12_2017,"&lt;&gt;0")-_xlfn.MINIFS(Id_Impression,Categorie,A6,Quantité_à_imprimer_12_2017,"&lt;&gt;0")+1)</f>
        <v>0</v>
      </c>
      <c r="E6" s="76">
        <f t="shared" si="3"/>
        <v>15</v>
      </c>
      <c r="F6" s="76">
        <f t="shared" si="1"/>
        <v>387</v>
      </c>
      <c r="G6" s="91">
        <f t="shared" si="6"/>
        <v>43024</v>
      </c>
      <c r="H6" s="90">
        <f t="shared" si="4"/>
        <v>43044</v>
      </c>
      <c r="I6" s="95">
        <f t="shared" si="5"/>
        <v>43000</v>
      </c>
      <c r="J6" s="94">
        <f t="shared" si="2"/>
        <v>43006</v>
      </c>
      <c r="M6" s="83">
        <v>43033</v>
      </c>
      <c r="O6">
        <v>4</v>
      </c>
    </row>
    <row r="7" spans="1:15" x14ac:dyDescent="0.55000000000000004">
      <c r="A7" s="5" t="s">
        <v>289</v>
      </c>
      <c r="B7" s="79">
        <f t="shared" si="0"/>
        <v>4.7083333333333321</v>
      </c>
      <c r="C7" s="80">
        <f t="array" ref="C7">SUM(IF(FREQUENCY(IF(Id_Impression&lt;&gt;0,IF(Categorie=A7,Id_Impression,FALSE),FALSE),O7:O317)&lt;&gt;0,FREQUENCY(IF(Id_Impression&lt;&gt;0,IF(Categorie=A7,Id_Impression,FALSE),FALSE),O7:O317)/FREQUENCY(IF(Id_Impression&lt;&gt;0,IF(Categorie=A7,Id_Impression,FALSE),FALSE),O7:O317),0))</f>
        <v>25</v>
      </c>
      <c r="D7" s="76">
        <f t="array" ref="D7">IF(_xlfn.MAXIFS(Id_Impression,Categorie,A6,Quantité_à_imprimer_12_2017,"&lt;&gt;0")-_xlfn.MINIFS(Id_Impression,Categorie,A7,Quantité_à_imprimer_12_2017,"&lt;&gt;0")+1&lt;0,0,_xlfn.MAXIFS(Id_Impression,Categorie,A6,Quantité_à_imprimer_12_2017,"&lt;&gt;0")-_xlfn.MINIFS(Id_Impression,Categorie,A7,Quantité_à_imprimer_12_2017,"&lt;&gt;0")+1)</f>
        <v>0</v>
      </c>
      <c r="E7" s="76">
        <f t="shared" si="3"/>
        <v>40</v>
      </c>
      <c r="F7" s="76">
        <f t="shared" si="1"/>
        <v>1279.3200000000002</v>
      </c>
      <c r="G7" s="91">
        <f>$H6+1-D7</f>
        <v>43045</v>
      </c>
      <c r="H7" s="90">
        <f t="shared" si="4"/>
        <v>43079</v>
      </c>
      <c r="I7" s="95">
        <f t="shared" si="5"/>
        <v>43007</v>
      </c>
      <c r="J7" s="94">
        <f t="shared" si="2"/>
        <v>43024</v>
      </c>
      <c r="M7" s="83">
        <v>43034</v>
      </c>
      <c r="O7">
        <v>5</v>
      </c>
    </row>
    <row r="8" spans="1:15" x14ac:dyDescent="0.55000000000000004">
      <c r="A8" s="5" t="s">
        <v>145</v>
      </c>
      <c r="B8" s="79">
        <f t="shared" si="0"/>
        <v>2.5687499999999996</v>
      </c>
      <c r="C8" s="80">
        <f t="array" ref="C8">SUM(IF(FREQUENCY(IF(Id_Impression&lt;&gt;0,IF(Categorie=A8,Id_Impression,FALSE),FALSE),O8:O318)&lt;&gt;0,FREQUENCY(IF(Id_Impression&lt;&gt;0,IF(Categorie=A8,Id_Impression,FALSE),FALSE),O8:O318)/FREQUENCY(IF(Id_Impression&lt;&gt;0,IF(Categorie=A8,Id_Impression,FALSE),FALSE),O8:O318),0))</f>
        <v>16</v>
      </c>
      <c r="D8" s="76">
        <f t="array" ref="D8">IF(_xlfn.MAXIFS(Id_Impression,Categorie,A7,Quantité_à_imprimer_12_2017,"&lt;&gt;0")-_xlfn.MINIFS(Id_Impression,Categorie,A8,Quantité_à_imprimer_12_2017,"&lt;&gt;0")+1&lt;0,0,_xlfn.MAXIFS(Id_Impression,Categorie,A7,Quantité_à_imprimer_12_2017,"&lt;&gt;0")-_xlfn.MINIFS(Id_Impression,Categorie,A8,Quantité_à_imprimer_12_2017,"&lt;&gt;0")+1)</f>
        <v>3</v>
      </c>
      <c r="E8" s="76">
        <f t="shared" si="3"/>
        <v>27</v>
      </c>
      <c r="F8" s="76">
        <f t="shared" si="1"/>
        <v>511.73</v>
      </c>
      <c r="G8" s="91">
        <f t="shared" si="6"/>
        <v>43077</v>
      </c>
      <c r="H8" s="90">
        <f t="shared" si="4"/>
        <v>43109</v>
      </c>
      <c r="I8" s="95">
        <f t="shared" si="5"/>
        <v>43022</v>
      </c>
      <c r="J8" s="94">
        <f t="shared" si="2"/>
        <v>43039</v>
      </c>
      <c r="M8" s="83">
        <v>43035</v>
      </c>
      <c r="O8">
        <v>6</v>
      </c>
    </row>
    <row r="9" spans="1:15" x14ac:dyDescent="0.55000000000000004">
      <c r="A9" s="5" t="s">
        <v>288</v>
      </c>
      <c r="B9" s="79">
        <f t="shared" si="0"/>
        <v>1.1847222222222222</v>
      </c>
      <c r="C9" s="80">
        <f t="array" ref="C9">SUM(IF(FREQUENCY(IF(Id_Impression&lt;&gt;0,IF(Categorie=A9,Id_Impression,FALSE),FALSE),O9:O319)&lt;&gt;0,FREQUENCY(IF(Id_Impression&lt;&gt;0,IF(Categorie=A9,Id_Impression,FALSE),FALSE),O9:O319)/FREQUENCY(IF(Id_Impression&lt;&gt;0,IF(Categorie=A9,Id_Impression,FALSE),FALSE),O9:O319),0))</f>
        <v>9</v>
      </c>
      <c r="D9" s="76">
        <f t="array" ref="D9">IF(_xlfn.MAXIFS(Id_Impression,Categorie,A8,Quantité_à_imprimer_12_2017,"&lt;&gt;0")-_xlfn.MINIFS(Id_Impression,Categorie,A9,Quantité_à_imprimer_12_2017,"&lt;&gt;0")+1&lt;0,0,_xlfn.MAXIFS(Id_Impression,Categorie,A8,Quantité_à_imprimer_12_2017,"&lt;&gt;0")-_xlfn.MINIFS(Id_Impression,Categorie,A9,Quantité_à_imprimer_12_2017,"&lt;&gt;0")+1)</f>
        <v>6</v>
      </c>
      <c r="E9" s="76">
        <f t="shared" si="3"/>
        <v>13</v>
      </c>
      <c r="F9" s="76">
        <f t="shared" si="1"/>
        <v>253.64</v>
      </c>
      <c r="G9" s="91">
        <f t="shared" si="6"/>
        <v>43104</v>
      </c>
      <c r="H9" s="90">
        <f t="shared" si="4"/>
        <v>43116</v>
      </c>
      <c r="I9" s="95">
        <f t="shared" si="5"/>
        <v>43034</v>
      </c>
      <c r="J9" s="94">
        <f t="shared" si="2"/>
        <v>43040</v>
      </c>
      <c r="M9" s="83">
        <v>43036</v>
      </c>
      <c r="O9">
        <v>7</v>
      </c>
    </row>
    <row r="10" spans="1:15" x14ac:dyDescent="0.55000000000000004">
      <c r="A10" s="5" t="s">
        <v>115</v>
      </c>
      <c r="B10" s="79">
        <f t="shared" si="0"/>
        <v>2.9618055555555554</v>
      </c>
      <c r="C10" s="80">
        <f t="array" ref="C10">SUM(IF(FREQUENCY(IF(Id_Impression&lt;&gt;0,IF(Categorie=A10,Id_Impression,FALSE),FALSE),O10:O320)&lt;&gt;0,FREQUENCY(IF(Id_Impression&lt;&gt;0,IF(Categorie=A10,Id_Impression,FALSE),FALSE),O10:O320)/FREQUENCY(IF(Id_Impression&lt;&gt;0,IF(Categorie=A10,Id_Impression,FALSE),FALSE),O10:O320),0))</f>
        <v>17</v>
      </c>
      <c r="D10" s="76">
        <f t="array" ref="D10">IF(_xlfn.MAXIFS(Id_Impression,Categorie,A9,Quantité_à_imprimer_12_2017,"&lt;&gt;0")-_xlfn.MINIFS(Id_Impression,Categorie,A10,Quantité_à_imprimer_12_2017,"&lt;&gt;0")+1&lt;0,0,_xlfn.MAXIFS(Id_Impression,Categorie,A9,Quantité_à_imprimer_12_2017,"&lt;&gt;0")-_xlfn.MINIFS(Id_Impression,Categorie,A10,Quantité_à_imprimer_12_2017,"&lt;&gt;0")+1)</f>
        <v>2</v>
      </c>
      <c r="E10" s="76">
        <f t="shared" si="3"/>
        <v>27</v>
      </c>
      <c r="F10" s="76">
        <f t="shared" si="1"/>
        <v>623.11</v>
      </c>
      <c r="G10" s="91">
        <f t="shared" si="6"/>
        <v>43115</v>
      </c>
      <c r="H10" s="90">
        <f t="shared" si="4"/>
        <v>43137</v>
      </c>
      <c r="I10" s="95">
        <f t="shared" si="5"/>
        <v>43039</v>
      </c>
      <c r="J10" s="94">
        <f t="shared" si="2"/>
        <v>43048</v>
      </c>
      <c r="M10" s="83">
        <v>43037</v>
      </c>
      <c r="N10" t="s">
        <v>284</v>
      </c>
      <c r="O10">
        <v>8</v>
      </c>
    </row>
    <row r="11" spans="1:15" x14ac:dyDescent="0.55000000000000004">
      <c r="A11" s="5" t="s">
        <v>276</v>
      </c>
      <c r="B11" s="74">
        <f>SUM(B2:B10)</f>
        <v>18.626388888888886</v>
      </c>
      <c r="C11" s="72">
        <f>SUM(C2:C10)-D11</f>
        <v>95</v>
      </c>
      <c r="D11" s="76">
        <f>SUM(D2:D10)</f>
        <v>12</v>
      </c>
      <c r="E11" s="75">
        <f>SUM(E2:E10)</f>
        <v>173</v>
      </c>
      <c r="F11" s="75">
        <f>SUM(F2:F10)</f>
        <v>4287.53</v>
      </c>
      <c r="G11" s="91"/>
      <c r="H11" s="90"/>
      <c r="I11" s="95"/>
      <c r="J11" s="94"/>
      <c r="M11" s="83">
        <v>43094</v>
      </c>
      <c r="N11" t="s">
        <v>285</v>
      </c>
      <c r="O11">
        <v>9</v>
      </c>
    </row>
    <row r="12" spans="1:15" x14ac:dyDescent="0.55000000000000004">
      <c r="D12" s="76"/>
      <c r="G12" s="92"/>
      <c r="H12" s="92"/>
      <c r="I12" s="96"/>
      <c r="J12" s="96"/>
      <c r="M12" s="83">
        <v>43095</v>
      </c>
      <c r="O12">
        <v>10</v>
      </c>
    </row>
    <row r="13" spans="1:15" x14ac:dyDescent="0.55000000000000004">
      <c r="G13" s="92" t="s">
        <v>298</v>
      </c>
      <c r="H13" s="92"/>
      <c r="I13" s="127" t="s">
        <v>297</v>
      </c>
      <c r="J13" s="127"/>
      <c r="M13" s="83">
        <v>43096</v>
      </c>
      <c r="O13">
        <v>11</v>
      </c>
    </row>
    <row r="14" spans="1:15" ht="14.7" thickBot="1" x14ac:dyDescent="0.6">
      <c r="M14" s="83">
        <v>43097</v>
      </c>
      <c r="O14">
        <v>12</v>
      </c>
    </row>
    <row r="15" spans="1:15" ht="15" thickTop="1" thickBot="1" x14ac:dyDescent="0.6">
      <c r="A15" s="78" t="s">
        <v>290</v>
      </c>
      <c r="B15" s="81" t="s">
        <v>271</v>
      </c>
      <c r="C15" s="81" t="s">
        <v>275</v>
      </c>
      <c r="D15" s="78" t="s">
        <v>287</v>
      </c>
      <c r="E15" s="78" t="s">
        <v>266</v>
      </c>
      <c r="F15" s="78" t="s">
        <v>269</v>
      </c>
      <c r="G15" s="89" t="s">
        <v>278</v>
      </c>
      <c r="H15" s="89" t="s">
        <v>281</v>
      </c>
      <c r="M15" s="83">
        <v>43098</v>
      </c>
      <c r="O15">
        <v>13</v>
      </c>
    </row>
    <row r="16" spans="1:15" ht="14.7" thickTop="1" x14ac:dyDescent="0.55000000000000004">
      <c r="A16" s="42" t="s">
        <v>15</v>
      </c>
      <c r="B16" s="79">
        <f>SUMIFS(Temps_Total,Categorie,$A16,Quantité_à_imprimer_12_2017,"&lt;&gt;0")</f>
        <v>1.9465277777777779</v>
      </c>
      <c r="C16" s="80">
        <f>C2/2</f>
        <v>5</v>
      </c>
      <c r="D16" s="76">
        <v>0</v>
      </c>
      <c r="E16" s="76">
        <f t="shared" ref="E16:E24" si="7">SUMIFS(Quantité_à_imprimer_12_2017,Categorie,A16,Quantité_à_imprimer_12_2017,"&lt;&gt;0")</f>
        <v>15</v>
      </c>
      <c r="F16" s="76">
        <f t="shared" ref="F16:F24" si="8">SUMIFS(Poids_total__g,Categorie,A16,Quantité_à_imprimer_12_2017,"&lt;&gt;0")</f>
        <v>397.4</v>
      </c>
      <c r="G16" s="90">
        <f>L2</f>
        <v>42983</v>
      </c>
      <c r="H16" s="90">
        <f>WORKDAY(G16,C16,$M$2:$M$19)-1</f>
        <v>42989</v>
      </c>
      <c r="M16" s="83">
        <v>43099</v>
      </c>
      <c r="O16">
        <v>14</v>
      </c>
    </row>
    <row r="17" spans="1:15" x14ac:dyDescent="0.55000000000000004">
      <c r="A17" s="5" t="s">
        <v>280</v>
      </c>
      <c r="B17" s="79">
        <f>SUMIFS(Temps_Total,Categorie,$A17,Quantité_à_imprimer_12_2017,"&lt;&gt;0")</f>
        <v>0.95138888888888884</v>
      </c>
      <c r="C17" s="80">
        <f t="shared" ref="C17:C24" si="9">C3/2</f>
        <v>2.5</v>
      </c>
      <c r="D17" s="76">
        <f>IF(_xlfn.MAXIFS(Id_Impression,Categorie,A16,Quantité_à_imprimer_12_2017,"&lt;&gt;0")-_xlfn.MINIFS(Id_Impression,Categorie,A17,Quantité_à_imprimer_12_2017,"&lt;&gt;0")+1&lt;0,0,_xlfn.MAXIFS(Id_Impression,Categorie,A16,Quantité_à_imprimer_12_2017,"&lt;&gt;0")-_xlfn.MINIFS(Id_Impression,Categorie,A17,Quantité_à_imprimer_12_2017,"&lt;&gt;0")+1)</f>
        <v>0</v>
      </c>
      <c r="E17" s="76">
        <f t="shared" si="7"/>
        <v>8</v>
      </c>
      <c r="F17" s="76">
        <f t="shared" si="8"/>
        <v>198.48000000000002</v>
      </c>
      <c r="G17" s="91">
        <f t="shared" ref="G17:G24" si="10">$H16+1-D17</f>
        <v>42990</v>
      </c>
      <c r="H17" s="90">
        <f t="shared" ref="H17:H25" si="11">WORKDAY(G17,C17,$M$2:$M$24)-1</f>
        <v>42991</v>
      </c>
      <c r="M17" s="83">
        <v>43100</v>
      </c>
      <c r="O17">
        <v>15</v>
      </c>
    </row>
    <row r="18" spans="1:15" x14ac:dyDescent="0.55000000000000004">
      <c r="A18" s="5" t="s">
        <v>279</v>
      </c>
      <c r="B18" s="79">
        <f t="shared" ref="B18:B24" si="12">SUMIFS(Temps_Total,Categorie,$A18,Quantité_à_imprimer_12_2017,"&lt;&gt;0")</f>
        <v>0.41388888888888886</v>
      </c>
      <c r="C18" s="80">
        <f t="shared" si="9"/>
        <v>1.5</v>
      </c>
      <c r="D18" s="76">
        <f t="array" ref="D18">IF(_xlfn.MAXIFS(Id_Impression,Categorie,A17,Quantité_à_imprimer_12_2017,"&lt;&gt;0")-_xlfn.MINIFS(Id_Impression,Categorie,A18,Quantité_à_imprimer_12_2017,"&lt;&gt;0")+1&lt;0,0,_xlfn.MAXIFS(Id_Impression,Categorie,A17,Quantité_à_imprimer_12_2017,"&lt;&gt;0")-_xlfn.MINIFS(Id_Impression,Categorie,A18,Quantité_à_imprimer_12_2017,"&lt;&gt;0")+1)</f>
        <v>1</v>
      </c>
      <c r="E18" s="76">
        <f t="shared" si="7"/>
        <v>5</v>
      </c>
      <c r="F18" s="76">
        <f t="shared" si="8"/>
        <v>83.78</v>
      </c>
      <c r="G18" s="91">
        <f t="shared" si="10"/>
        <v>42991</v>
      </c>
      <c r="H18" s="90">
        <f t="shared" si="11"/>
        <v>42991</v>
      </c>
      <c r="M18" s="83">
        <v>43101</v>
      </c>
      <c r="O18">
        <v>16</v>
      </c>
    </row>
    <row r="19" spans="1:15" x14ac:dyDescent="0.55000000000000004">
      <c r="A19" s="5" t="s">
        <v>59</v>
      </c>
      <c r="B19" s="79">
        <f t="shared" si="12"/>
        <v>2.3840277777777779</v>
      </c>
      <c r="C19" s="80">
        <f t="shared" si="9"/>
        <v>6</v>
      </c>
      <c r="D19" s="76">
        <f t="array" ref="D19">IF(_xlfn.MAXIFS(Id_Impression,Categorie,A18,Quantité_à_imprimer_12_2017,"&lt;&gt;0")-_xlfn.MINIFS(Id_Impression,Categorie,A19,Quantité_à_imprimer_12_2017,"&lt;&gt;0")+1&lt;0,0,_xlfn.MAXIFS(Id_Impression,Categorie,A18,Quantité_à_imprimer_12_2017,"&lt;&gt;0")-_xlfn.MINIFS(Id_Impression,Categorie,A19,Quantité_à_imprimer_12_2017,"&lt;&gt;0")+1)</f>
        <v>0</v>
      </c>
      <c r="E19" s="76">
        <f t="shared" si="7"/>
        <v>23</v>
      </c>
      <c r="F19" s="76">
        <f t="shared" si="8"/>
        <v>553.07000000000005</v>
      </c>
      <c r="G19" s="91">
        <f t="shared" si="10"/>
        <v>42992</v>
      </c>
      <c r="H19" s="90">
        <f t="shared" si="11"/>
        <v>42999</v>
      </c>
      <c r="M19" s="83">
        <v>43102</v>
      </c>
      <c r="N19" t="s">
        <v>286</v>
      </c>
      <c r="O19">
        <v>17</v>
      </c>
    </row>
    <row r="20" spans="1:15" x14ac:dyDescent="0.55000000000000004">
      <c r="A20" s="5" t="s">
        <v>70</v>
      </c>
      <c r="B20" s="79">
        <f t="shared" si="12"/>
        <v>1.5069444444444444</v>
      </c>
      <c r="C20" s="80">
        <f t="shared" si="9"/>
        <v>5</v>
      </c>
      <c r="D20" s="76">
        <f t="array" ref="D20">IF(_xlfn.MAXIFS(Id_Impression,Categorie,A19,Quantité_à_imprimer_12_2017,"&lt;&gt;0")-_xlfn.MINIFS(Id_Impression,Categorie,A20,Quantité_à_imprimer_12_2017,"&lt;&gt;0")+1&lt;0,0,_xlfn.MAXIFS(Id_Impression,Categorie,A19,Quantité_à_imprimer_12_2017,"&lt;&gt;0")-_xlfn.MINIFS(Id_Impression,Categorie,A20,Quantité_à_imprimer_12_2017,"&lt;&gt;0")+1)</f>
        <v>0</v>
      </c>
      <c r="E20" s="76">
        <f t="shared" si="7"/>
        <v>15</v>
      </c>
      <c r="F20" s="76">
        <f t="shared" si="8"/>
        <v>387</v>
      </c>
      <c r="G20" s="91">
        <f t="shared" si="10"/>
        <v>43000</v>
      </c>
      <c r="H20" s="90">
        <f t="shared" si="11"/>
        <v>43006</v>
      </c>
      <c r="M20" s="83"/>
      <c r="N20" s="83"/>
      <c r="O20">
        <v>18</v>
      </c>
    </row>
    <row r="21" spans="1:15" x14ac:dyDescent="0.55000000000000004">
      <c r="A21" s="5" t="s">
        <v>289</v>
      </c>
      <c r="B21" s="79">
        <f t="shared" si="12"/>
        <v>4.7083333333333321</v>
      </c>
      <c r="C21" s="80">
        <f t="shared" si="9"/>
        <v>12.5</v>
      </c>
      <c r="D21" s="76">
        <f t="array" ref="D21">IF(_xlfn.MAXIFS(Id_Impression,Categorie,A20,Quantité_à_imprimer_12_2017,"&lt;&gt;0")-_xlfn.MINIFS(Id_Impression,Categorie,A21,Quantité_à_imprimer_12_2017,"&lt;&gt;0")+1&lt;0,0,_xlfn.MAXIFS(Id_Impression,Categorie,A20,Quantité_à_imprimer_12_2017,"&lt;&gt;0")-_xlfn.MINIFS(Id_Impression,Categorie,A21,Quantité_à_imprimer_12_2017,"&lt;&gt;0")+1)</f>
        <v>0</v>
      </c>
      <c r="E21" s="76">
        <f t="shared" si="7"/>
        <v>40</v>
      </c>
      <c r="F21" s="76">
        <f t="shared" si="8"/>
        <v>1279.3200000000002</v>
      </c>
      <c r="G21" s="91">
        <f t="shared" si="10"/>
        <v>43007</v>
      </c>
      <c r="H21" s="90">
        <f t="shared" si="11"/>
        <v>43024</v>
      </c>
      <c r="M21" s="83"/>
      <c r="N21" s="83"/>
      <c r="O21">
        <v>19</v>
      </c>
    </row>
    <row r="22" spans="1:15" x14ac:dyDescent="0.55000000000000004">
      <c r="A22" s="5" t="s">
        <v>145</v>
      </c>
      <c r="B22" s="79">
        <f t="shared" si="12"/>
        <v>2.5687499999999996</v>
      </c>
      <c r="C22" s="80">
        <f t="shared" si="9"/>
        <v>8</v>
      </c>
      <c r="D22" s="76">
        <f t="array" ref="D22">IF(_xlfn.MAXIFS(Id_Impression,Categorie,A21,Quantité_à_imprimer_12_2017,"&lt;&gt;0")-_xlfn.MINIFS(Id_Impression,Categorie,A22,Quantité_à_imprimer_12_2017,"&lt;&gt;0")+1&lt;0,0,_xlfn.MAXIFS(Id_Impression,Categorie,A21,Quantité_à_imprimer_12_2017,"&lt;&gt;0")-_xlfn.MINIFS(Id_Impression,Categorie,A22,Quantité_à_imprimer_12_2017,"&lt;&gt;0")+1)</f>
        <v>3</v>
      </c>
      <c r="E22" s="76">
        <f t="shared" si="7"/>
        <v>27</v>
      </c>
      <c r="F22" s="76">
        <f t="shared" si="8"/>
        <v>511.73</v>
      </c>
      <c r="G22" s="91">
        <f t="shared" si="10"/>
        <v>43022</v>
      </c>
      <c r="H22" s="90">
        <f t="shared" si="11"/>
        <v>43039</v>
      </c>
      <c r="M22" s="83"/>
      <c r="N22" s="83"/>
      <c r="O22">
        <v>20</v>
      </c>
    </row>
    <row r="23" spans="1:15" x14ac:dyDescent="0.55000000000000004">
      <c r="A23" s="5" t="s">
        <v>288</v>
      </c>
      <c r="B23" s="79">
        <f t="shared" si="12"/>
        <v>1.1847222222222222</v>
      </c>
      <c r="C23" s="80">
        <f t="shared" si="9"/>
        <v>4.5</v>
      </c>
      <c r="D23" s="76">
        <f t="array" ref="D23">IF(_xlfn.MAXIFS(Id_Impression,Categorie,A22,Quantité_à_imprimer_12_2017,"&lt;&gt;0")-_xlfn.MINIFS(Id_Impression,Categorie,A23,Quantité_à_imprimer_12_2017,"&lt;&gt;0")+1&lt;0,0,_xlfn.MAXIFS(Id_Impression,Categorie,A22,Quantité_à_imprimer_12_2017,"&lt;&gt;0")-_xlfn.MINIFS(Id_Impression,Categorie,A23,Quantité_à_imprimer_12_2017,"&lt;&gt;0")+1)</f>
        <v>6</v>
      </c>
      <c r="E23" s="76">
        <f t="shared" si="7"/>
        <v>13</v>
      </c>
      <c r="F23" s="76">
        <f t="shared" si="8"/>
        <v>253.64</v>
      </c>
      <c r="G23" s="91">
        <f t="shared" si="10"/>
        <v>43034</v>
      </c>
      <c r="H23" s="90">
        <f t="shared" si="11"/>
        <v>43040</v>
      </c>
      <c r="M23" s="83"/>
      <c r="N23" s="83"/>
      <c r="O23">
        <v>21</v>
      </c>
    </row>
    <row r="24" spans="1:15" x14ac:dyDescent="0.55000000000000004">
      <c r="A24" s="5" t="s">
        <v>115</v>
      </c>
      <c r="B24" s="79">
        <f t="shared" si="12"/>
        <v>2.9618055555555554</v>
      </c>
      <c r="C24" s="80">
        <f t="shared" si="9"/>
        <v>8.5</v>
      </c>
      <c r="D24" s="76">
        <f t="array" ref="D24">IF(_xlfn.MAXIFS(Id_Impression,Categorie,A23,Quantité_à_imprimer_12_2017,"&lt;&gt;0")-_xlfn.MINIFS(Id_Impression,Categorie,A24,Quantité_à_imprimer_12_2017,"&lt;&gt;0")+1&lt;0,0,_xlfn.MAXIFS(Id_Impression,Categorie,A23,Quantité_à_imprimer_12_2017,"&lt;&gt;0")-_xlfn.MINIFS(Id_Impression,Categorie,A24,Quantité_à_imprimer_12_2017,"&lt;&gt;0")+1)</f>
        <v>2</v>
      </c>
      <c r="E24" s="76">
        <f t="shared" si="7"/>
        <v>27</v>
      </c>
      <c r="F24" s="76">
        <f t="shared" si="8"/>
        <v>623.11</v>
      </c>
      <c r="G24" s="91">
        <f t="shared" si="10"/>
        <v>43039</v>
      </c>
      <c r="H24" s="90">
        <f t="shared" si="11"/>
        <v>43048</v>
      </c>
      <c r="M24" s="83"/>
      <c r="N24" s="83"/>
      <c r="O24">
        <v>22</v>
      </c>
    </row>
    <row r="25" spans="1:15" x14ac:dyDescent="0.55000000000000004">
      <c r="A25" s="5" t="s">
        <v>276</v>
      </c>
      <c r="B25" s="74">
        <f>SUM(B16:B24)</f>
        <v>18.626388888888886</v>
      </c>
      <c r="C25" s="97">
        <f>SUM(C16:C24)-D25</f>
        <v>41.5</v>
      </c>
      <c r="D25" s="76">
        <f>SUM(D16:D24)</f>
        <v>12</v>
      </c>
      <c r="E25" s="75">
        <f>SUM(E16:E24)</f>
        <v>173</v>
      </c>
      <c r="F25" s="75">
        <f>SUM(F16:F24)</f>
        <v>4287.53</v>
      </c>
      <c r="G25" s="91">
        <f>G16</f>
        <v>42983</v>
      </c>
      <c r="H25" s="90">
        <f t="shared" si="11"/>
        <v>43046</v>
      </c>
      <c r="O25">
        <v>23</v>
      </c>
    </row>
    <row r="26" spans="1:15" x14ac:dyDescent="0.55000000000000004">
      <c r="O26">
        <v>24</v>
      </c>
    </row>
    <row r="27" spans="1:15" x14ac:dyDescent="0.55000000000000004">
      <c r="O27">
        <v>25</v>
      </c>
    </row>
    <row r="28" spans="1:15" x14ac:dyDescent="0.55000000000000004">
      <c r="O28">
        <v>26</v>
      </c>
    </row>
    <row r="29" spans="1:15" x14ac:dyDescent="0.55000000000000004">
      <c r="O29">
        <v>27</v>
      </c>
    </row>
    <row r="30" spans="1:15" x14ac:dyDescent="0.55000000000000004">
      <c r="O30">
        <v>28</v>
      </c>
    </row>
    <row r="31" spans="1:15" x14ac:dyDescent="0.55000000000000004">
      <c r="O31">
        <v>29</v>
      </c>
    </row>
    <row r="32" spans="1:15" x14ac:dyDescent="0.55000000000000004">
      <c r="O32">
        <v>30</v>
      </c>
    </row>
    <row r="33" spans="1:15" x14ac:dyDescent="0.55000000000000004">
      <c r="O33">
        <v>31</v>
      </c>
    </row>
    <row r="34" spans="1:15" x14ac:dyDescent="0.55000000000000004">
      <c r="O34">
        <v>32</v>
      </c>
    </row>
    <row r="35" spans="1:15" x14ac:dyDescent="0.55000000000000004">
      <c r="O35">
        <v>33</v>
      </c>
    </row>
    <row r="36" spans="1:15" x14ac:dyDescent="0.55000000000000004">
      <c r="O36">
        <v>34</v>
      </c>
    </row>
    <row r="37" spans="1:15" ht="14.7" thickBot="1" x14ac:dyDescent="0.6">
      <c r="O37">
        <v>35</v>
      </c>
    </row>
    <row r="38" spans="1:15" ht="14.7" thickBot="1" x14ac:dyDescent="0.6">
      <c r="A38" s="43" t="s">
        <v>270</v>
      </c>
      <c r="B38" s="44" t="s">
        <v>271</v>
      </c>
      <c r="C38" s="44" t="s">
        <v>275</v>
      </c>
      <c r="D38" s="43" t="s">
        <v>266</v>
      </c>
      <c r="E38" s="43" t="s">
        <v>269</v>
      </c>
      <c r="O38">
        <v>36</v>
      </c>
    </row>
    <row r="39" spans="1:15" x14ac:dyDescent="0.55000000000000004">
      <c r="A39" s="42" t="s">
        <v>15</v>
      </c>
      <c r="B39" s="46">
        <f>SUMIFS(Temps_Total,Emplacement,A39,Quantité_à_imprimer_12_2017,"&lt;&gt;0")</f>
        <v>1.9465277777777779</v>
      </c>
      <c r="C39" s="72">
        <f t="array" ref="C39">SUM(IF(FREQUENCY(IF(Id_Impression&lt;&gt;0,IF(Emplacement=A39,Id_Impression,FALSE),FALSE),O2:O312)&lt;&gt;0,FREQUENCY(IF(Id_Impression&lt;&gt;0,IF(Emplacement=A39,Id_Impression,FALSE),FALSE),O2:O312)/FREQUENCY(IF(Id_Impression&lt;&gt;0,IF(Emplacement=A39,Id_Impression,FALSE),FALSE),O2:O312),0))</f>
        <v>10</v>
      </c>
      <c r="D39" s="76">
        <f t="shared" ref="D39:D52" si="13">SUMIFS(Quantité_à_imprimer_12_2017,Emplacement,A39,Quantité_à_imprimer_12_2017,"&lt;&gt;0")</f>
        <v>15</v>
      </c>
      <c r="E39" s="76">
        <f t="shared" ref="E39:E52" si="14">SUMIFS(Poids_total__g,Emplacement,A39,Quantité_à_imprimer_12_2017,"&lt;&gt;0")</f>
        <v>397.4</v>
      </c>
      <c r="O39">
        <v>37</v>
      </c>
    </row>
    <row r="40" spans="1:15" x14ac:dyDescent="0.55000000000000004">
      <c r="A40" s="5" t="s">
        <v>32</v>
      </c>
      <c r="B40" s="46">
        <f t="array" ref="B40">SUMIFS(Temps_Total,Emplacement,A40,Quantité_à_imprimer_12_2017,"&lt;&gt;0")</f>
        <v>0.95138888888888884</v>
      </c>
      <c r="C40" s="72">
        <f t="array" ref="C40">SUM(IF(FREQUENCY(IF(Id_Impression&lt;&gt;0,IF(Emplacement=A40,Id_Impression,FALSE),FALSE),O3:O313)&lt;&gt;0,FREQUENCY(IF(Id_Impression&lt;&gt;0,IF(Emplacement=A40,Id_Impression,FALSE),FALSE),O3:O313)/FREQUENCY(IF(Id_Impression&lt;&gt;0,IF(Emplacement=A40,Id_Impression,FALSE),FALSE),O3:O313),0))</f>
        <v>5</v>
      </c>
      <c r="D40" s="73">
        <f t="shared" si="13"/>
        <v>8</v>
      </c>
      <c r="E40" s="73">
        <f t="shared" si="14"/>
        <v>198.48000000000002</v>
      </c>
      <c r="O40">
        <v>38</v>
      </c>
    </row>
    <row r="41" spans="1:15" x14ac:dyDescent="0.55000000000000004">
      <c r="A41" s="5" t="s">
        <v>41</v>
      </c>
      <c r="B41" s="46">
        <f t="array" ref="B41">SUMIFS(Temps_Total,Emplacement,A41,Quantité_à_imprimer_12_2017,"&lt;&gt;0")</f>
        <v>0.41388888888888886</v>
      </c>
      <c r="C41" s="72">
        <f t="array" ref="C41">SUM(IF(FREQUENCY(IF(Id_Impression&lt;&gt;0,IF(Emplacement=A41,Id_Impression,FALSE),FALSE),O4:O314)&lt;&gt;0,FREQUENCY(IF(Id_Impression&lt;&gt;0,IF(Emplacement=A41,Id_Impression,FALSE),FALSE),O4:O314)/FREQUENCY(IF(Id_Impression&lt;&gt;0,IF(Emplacement=A41,Id_Impression,FALSE),FALSE),O4:O314),0))</f>
        <v>3</v>
      </c>
      <c r="D41" s="73">
        <f t="shared" si="13"/>
        <v>5</v>
      </c>
      <c r="E41" s="73">
        <f t="shared" si="14"/>
        <v>83.78</v>
      </c>
      <c r="O41">
        <v>39</v>
      </c>
    </row>
    <row r="42" spans="1:15" x14ac:dyDescent="0.55000000000000004">
      <c r="A42" s="5" t="s">
        <v>47</v>
      </c>
      <c r="B42" s="46">
        <f t="array" ref="B42">SUMIFS(Temps_Total,Emplacement,A42,Quantité_à_imprimer_12_2017,"&lt;&gt;0")</f>
        <v>2.0895833333333336</v>
      </c>
      <c r="C42" s="72">
        <f t="array" ref="C42">SUM(IF(FREQUENCY(IF(Id_Impression&lt;&gt;0,IF(Emplacement=A42,Id_Impression,FALSE),FALSE),O5:O315)&lt;&gt;0,FREQUENCY(IF(Id_Impression&lt;&gt;0,IF(Emplacement=A42,Id_Impression,FALSE),FALSE),O5:O315)/FREQUENCY(IF(Id_Impression&lt;&gt;0,IF(Emplacement=A42,Id_Impression,FALSE),FALSE),O5:O315),0))</f>
        <v>11</v>
      </c>
      <c r="D42" s="73">
        <f t="shared" si="13"/>
        <v>21</v>
      </c>
      <c r="E42" s="73">
        <f t="shared" si="14"/>
        <v>477.13</v>
      </c>
      <c r="O42">
        <v>40</v>
      </c>
    </row>
    <row r="43" spans="1:15" x14ac:dyDescent="0.55000000000000004">
      <c r="A43" s="5" t="s">
        <v>60</v>
      </c>
      <c r="B43" s="46">
        <f t="array" ref="B43">SUMIFS(Temps_Total,Emplacement,A43,Quantité_à_imprimer_12_2017,"&lt;&gt;0")</f>
        <v>0.2944444444444444</v>
      </c>
      <c r="C43" s="72">
        <f t="array" ref="C43">SUM(IF(FREQUENCY(IF(Id_Impression&lt;&gt;0,IF(Emplacement=A43,Id_Impression,FALSE),FALSE),O6:O316)&lt;&gt;0,FREQUENCY(IF(Id_Impression&lt;&gt;0,IF(Emplacement=A43,Id_Impression,FALSE),FALSE),O6:O316)/FREQUENCY(IF(Id_Impression&lt;&gt;0,IF(Emplacement=A43,Id_Impression,FALSE),FALSE),O6:O316),0))</f>
        <v>2</v>
      </c>
      <c r="D43" s="73">
        <f t="shared" si="13"/>
        <v>2</v>
      </c>
      <c r="E43" s="73">
        <f t="shared" si="14"/>
        <v>75.94</v>
      </c>
      <c r="O43">
        <v>41</v>
      </c>
    </row>
    <row r="44" spans="1:15" x14ac:dyDescent="0.55000000000000004">
      <c r="A44" s="5" t="s">
        <v>70</v>
      </c>
      <c r="B44" s="46">
        <f t="array" ref="B44">SUMIFS(Temps_Total,Emplacement,A44,Quantité_à_imprimer_12_2017,"&lt;&gt;0")</f>
        <v>0.54236111111111107</v>
      </c>
      <c r="C44" s="72">
        <f t="array" ref="C44">SUM(IF(FREQUENCY(IF(Id_Impression&lt;&gt;0,IF(Emplacement=A44,Id_Impression,FALSE),FALSE),O7:O317)&lt;&gt;0,FREQUENCY(IF(Id_Impression&lt;&gt;0,IF(Emplacement=A44,Id_Impression,FALSE),FALSE),O7:O317)/FREQUENCY(IF(Id_Impression&lt;&gt;0,IF(Emplacement=A44,Id_Impression,FALSE),FALSE),O7:O317),0))</f>
        <v>4</v>
      </c>
      <c r="D44" s="73">
        <f t="shared" si="13"/>
        <v>4</v>
      </c>
      <c r="E44" s="73">
        <f t="shared" si="14"/>
        <v>142.72999999999999</v>
      </c>
      <c r="O44">
        <v>42</v>
      </c>
    </row>
    <row r="45" spans="1:15" x14ac:dyDescent="0.55000000000000004">
      <c r="A45" s="5" t="s">
        <v>72</v>
      </c>
      <c r="B45" s="46">
        <f t="array" ref="B45">SUMIFS(Temps_Total,Emplacement,A45,Quantité_à_imprimer_12_2017,"&lt;&gt;0")</f>
        <v>0.96458333333333324</v>
      </c>
      <c r="C45" s="72">
        <f t="array" ref="C45">SUM(IF(FREQUENCY(IF(Id_Impression&lt;&gt;0,IF(Emplacement=A45,Id_Impression,FALSE),FALSE),O8:O318)&lt;&gt;0,FREQUENCY(IF(Id_Impression&lt;&gt;0,IF(Emplacement=A45,Id_Impression,FALSE),FALSE),O8:O318)/FREQUENCY(IF(Id_Impression&lt;&gt;0,IF(Emplacement=A45,Id_Impression,FALSE),FALSE),O8:O318),0))</f>
        <v>9</v>
      </c>
      <c r="D45" s="73">
        <f t="shared" si="13"/>
        <v>11</v>
      </c>
      <c r="E45" s="73">
        <f t="shared" si="14"/>
        <v>244.27</v>
      </c>
      <c r="O45">
        <v>43</v>
      </c>
    </row>
    <row r="46" spans="1:15" x14ac:dyDescent="0.55000000000000004">
      <c r="A46" s="5" t="s">
        <v>289</v>
      </c>
      <c r="B46" s="46">
        <f t="array" ref="B46">SUMIFS(Temps_Total,Emplacement,A46,Quantité_à_imprimer_12_2017,"&lt;&gt;0")</f>
        <v>2.2020833333333329</v>
      </c>
      <c r="C46" s="72">
        <f t="array" ref="C46">SUM(IF(FREQUENCY(IF(Id_Impression&lt;&gt;0,IF(Emplacement=A46,Id_Impression,FALSE),FALSE),O9:O319)&lt;&gt;0,FREQUENCY(IF(Id_Impression&lt;&gt;0,IF(Emplacement=A46,Id_Impression,FALSE),FALSE),O9:O319)/FREQUENCY(IF(Id_Impression&lt;&gt;0,IF(Emplacement=A46,Id_Impression,FALSE),FALSE),O9:O319),0))</f>
        <v>13</v>
      </c>
      <c r="D46" s="73">
        <f t="shared" si="13"/>
        <v>24</v>
      </c>
      <c r="E46" s="73">
        <f t="shared" si="14"/>
        <v>701.68999999999994</v>
      </c>
      <c r="O46">
        <v>44</v>
      </c>
    </row>
    <row r="47" spans="1:15" x14ac:dyDescent="0.55000000000000004">
      <c r="A47" s="5" t="s">
        <v>146</v>
      </c>
      <c r="B47" s="46">
        <f t="array" ref="B47">SUMIFS(Temps_Total,Emplacement,A47,Quantité_à_imprimer_12_2017,"&lt;&gt;0")</f>
        <v>2.5062500000000001</v>
      </c>
      <c r="C47" s="72">
        <f t="array" ref="C47">SUM(IF(FREQUENCY(IF(Id_Impression&lt;&gt;0,IF(Emplacement=A47,Id_Impression,FALSE),FALSE),O10:O320)&lt;&gt;0,FREQUENCY(IF(Id_Impression&lt;&gt;0,IF(Emplacement=A47,Id_Impression,FALSE),FALSE),O10:O320)/FREQUENCY(IF(Id_Impression&lt;&gt;0,IF(Emplacement=A47,Id_Impression,FALSE),FALSE),O10:O320),0))</f>
        <v>13</v>
      </c>
      <c r="D47" s="73">
        <f t="shared" si="13"/>
        <v>16</v>
      </c>
      <c r="E47" s="73">
        <f t="shared" si="14"/>
        <v>577.63000000000011</v>
      </c>
      <c r="O47">
        <v>45</v>
      </c>
    </row>
    <row r="48" spans="1:15" x14ac:dyDescent="0.55000000000000004">
      <c r="A48" s="5" t="s">
        <v>145</v>
      </c>
      <c r="B48" s="46">
        <f t="array" ref="B48">SUMIFS(Temps_Total,Emplacement,A48,Quantité_à_imprimer_12_2017,"&lt;&gt;0")</f>
        <v>2.5687499999999996</v>
      </c>
      <c r="C48" s="72">
        <f t="array" ref="C48">SUM(IF(FREQUENCY(IF(Id_Impression&lt;&gt;0,IF(Emplacement=A48,Id_Impression,FALSE),FALSE),O11:O321)&lt;&gt;0,FREQUENCY(IF(Id_Impression&lt;&gt;0,IF(Emplacement=A48,Id_Impression,FALSE),FALSE),O11:O321)/FREQUENCY(IF(Id_Impression&lt;&gt;0,IF(Emplacement=A48,Id_Impression,FALSE),FALSE),O11:O321),0))</f>
        <v>16</v>
      </c>
      <c r="D48" s="73">
        <f t="shared" si="13"/>
        <v>27</v>
      </c>
      <c r="E48" s="73">
        <f t="shared" si="14"/>
        <v>511.73</v>
      </c>
      <c r="O48">
        <v>46</v>
      </c>
    </row>
    <row r="49" spans="1:15" x14ac:dyDescent="0.55000000000000004">
      <c r="A49" s="5" t="s">
        <v>101</v>
      </c>
      <c r="B49" s="46">
        <f t="array" ref="B49">SUMIFS(Temps_Total,Emplacement,A49,Quantité_à_imprimer_12_2017,"&lt;&gt;0")</f>
        <v>1.1847222222222222</v>
      </c>
      <c r="C49" s="72">
        <f t="array" ref="C49">SUM(IF(FREQUENCY(IF(Id_Impression&lt;&gt;0,IF(Emplacement=A49,Id_Impression,FALSE),FALSE),O12:O322)&lt;&gt;0,FREQUENCY(IF(Id_Impression&lt;&gt;0,IF(Emplacement=A49,Id_Impression,FALSE),FALSE),O12:O322)/FREQUENCY(IF(Id_Impression&lt;&gt;0,IF(Emplacement=A49,Id_Impression,FALSE),FALSE),O12:O322),0))</f>
        <v>9</v>
      </c>
      <c r="D49" s="73">
        <f t="shared" si="13"/>
        <v>13</v>
      </c>
      <c r="E49" s="73">
        <f t="shared" si="14"/>
        <v>253.64</v>
      </c>
      <c r="O49">
        <v>47</v>
      </c>
    </row>
    <row r="50" spans="1:15" x14ac:dyDescent="0.55000000000000004">
      <c r="A50" s="5" t="s">
        <v>124</v>
      </c>
      <c r="B50" s="46">
        <f t="array" ref="B50">SUMIFS(Temps_Total,Emplacement,A50,Quantité_à_imprimer_12_2017,"&lt;&gt;0")</f>
        <v>1.1013888888888888</v>
      </c>
      <c r="C50" s="72">
        <f t="array" ref="C50">SUM(IF(FREQUENCY(IF(Id_Impression&lt;&gt;0,IF(Emplacement=A50,Id_Impression,FALSE),FALSE),O13:O323)&lt;&gt;0,FREQUENCY(IF(Id_Impression&lt;&gt;0,IF(Emplacement=A50,Id_Impression,FALSE),FALSE),O13:O323)/FREQUENCY(IF(Id_Impression&lt;&gt;0,IF(Emplacement=A50,Id_Impression,FALSE),FALSE),O13:O323),0))</f>
        <v>8</v>
      </c>
      <c r="D50" s="73">
        <f t="shared" si="13"/>
        <v>9</v>
      </c>
      <c r="E50" s="73">
        <f t="shared" si="14"/>
        <v>218.13</v>
      </c>
      <c r="O50">
        <v>48</v>
      </c>
    </row>
    <row r="51" spans="1:15" x14ac:dyDescent="0.55000000000000004">
      <c r="A51" s="5" t="s">
        <v>116</v>
      </c>
      <c r="B51" s="46">
        <f t="array" ref="B51">SUMIFS(Temps_Total,Emplacement,A51,Quantité_à_imprimer_12_2017,"&lt;&gt;0")</f>
        <v>0.26736111111111116</v>
      </c>
      <c r="C51" s="72">
        <f t="array" ref="C51">SUM(IF(FREQUENCY(IF(Id_Impression&lt;&gt;0,IF(Emplacement=A51,Id_Impression,FALSE),FALSE),O14:O324)&lt;&gt;0,FREQUENCY(IF(Id_Impression&lt;&gt;0,IF(Emplacement=A51,Id_Impression,FALSE),FALSE),O14:O324)/FREQUENCY(IF(Id_Impression&lt;&gt;0,IF(Emplacement=A51,Id_Impression,FALSE),FALSE),O14:O324),0))</f>
        <v>3</v>
      </c>
      <c r="D51" s="73">
        <f t="shared" si="13"/>
        <v>9</v>
      </c>
      <c r="E51" s="73">
        <f t="shared" si="14"/>
        <v>61.7</v>
      </c>
      <c r="O51">
        <v>49</v>
      </c>
    </row>
    <row r="52" spans="1:15" x14ac:dyDescent="0.55000000000000004">
      <c r="A52" s="5" t="s">
        <v>121</v>
      </c>
      <c r="B52" s="46">
        <f t="array" ref="B52">SUMIFS(Temps_Total,Emplacement,A52,Quantité_à_imprimer_12_2017,"&lt;&gt;0")</f>
        <v>1.5930555555555559</v>
      </c>
      <c r="C52" s="72">
        <f t="array" ref="C52">SUM(IF(FREQUENCY(IF(Id_Impression&lt;&gt;0,IF(Emplacement=A52,Id_Impression,FALSE),FALSE),O15:O325)&lt;&gt;0,FREQUENCY(IF(Id_Impression&lt;&gt;0,IF(Emplacement=A52,Id_Impression,FALSE),FALSE),O15:O325)/FREQUENCY(IF(Id_Impression&lt;&gt;0,IF(Emplacement=A52,Id_Impression,FALSE),FALSE),O15:O325),0))</f>
        <v>9</v>
      </c>
      <c r="D52" s="73">
        <f t="shared" si="13"/>
        <v>9</v>
      </c>
      <c r="E52" s="73">
        <f t="shared" si="14"/>
        <v>343.28000000000003</v>
      </c>
      <c r="O52">
        <v>50</v>
      </c>
    </row>
    <row r="53" spans="1:15" x14ac:dyDescent="0.55000000000000004">
      <c r="A53" s="5" t="s">
        <v>276</v>
      </c>
      <c r="B53" s="74">
        <f>SUM(B39:B52)</f>
        <v>18.626388888888886</v>
      </c>
      <c r="C53" s="72">
        <f>MAX(Id_Impression)</f>
        <v>100</v>
      </c>
      <c r="D53" s="75">
        <f>SUM(D39:D52)</f>
        <v>173</v>
      </c>
      <c r="E53" s="75">
        <f>SUM(E39:E52)</f>
        <v>4287.53</v>
      </c>
      <c r="O53">
        <v>51</v>
      </c>
    </row>
    <row r="54" spans="1:15" x14ac:dyDescent="0.55000000000000004">
      <c r="O54">
        <v>52</v>
      </c>
    </row>
    <row r="55" spans="1:15" x14ac:dyDescent="0.55000000000000004">
      <c r="O55">
        <v>53</v>
      </c>
    </row>
    <row r="56" spans="1:15" x14ac:dyDescent="0.55000000000000004">
      <c r="O56">
        <v>54</v>
      </c>
    </row>
    <row r="57" spans="1:15" x14ac:dyDescent="0.55000000000000004">
      <c r="O57">
        <v>55</v>
      </c>
    </row>
    <row r="58" spans="1:15" x14ac:dyDescent="0.55000000000000004">
      <c r="O58">
        <v>56</v>
      </c>
    </row>
    <row r="59" spans="1:15" x14ac:dyDescent="0.55000000000000004">
      <c r="O59">
        <v>57</v>
      </c>
    </row>
    <row r="60" spans="1:15" x14ac:dyDescent="0.55000000000000004">
      <c r="O60">
        <v>58</v>
      </c>
    </row>
    <row r="61" spans="1:15" x14ac:dyDescent="0.55000000000000004">
      <c r="O61">
        <v>59</v>
      </c>
    </row>
    <row r="62" spans="1:15" x14ac:dyDescent="0.55000000000000004">
      <c r="O62">
        <v>60</v>
      </c>
    </row>
    <row r="63" spans="1:15" x14ac:dyDescent="0.55000000000000004">
      <c r="O63">
        <v>61</v>
      </c>
    </row>
    <row r="64" spans="1:15" x14ac:dyDescent="0.55000000000000004">
      <c r="O64">
        <v>62</v>
      </c>
    </row>
    <row r="65" spans="15:15" x14ac:dyDescent="0.55000000000000004">
      <c r="O65">
        <v>63</v>
      </c>
    </row>
    <row r="66" spans="15:15" x14ac:dyDescent="0.55000000000000004">
      <c r="O66">
        <v>64</v>
      </c>
    </row>
    <row r="67" spans="15:15" x14ac:dyDescent="0.55000000000000004">
      <c r="O67">
        <v>65</v>
      </c>
    </row>
    <row r="68" spans="15:15" x14ac:dyDescent="0.55000000000000004">
      <c r="O68">
        <v>66</v>
      </c>
    </row>
    <row r="69" spans="15:15" x14ac:dyDescent="0.55000000000000004">
      <c r="O69">
        <v>67</v>
      </c>
    </row>
    <row r="70" spans="15:15" x14ac:dyDescent="0.55000000000000004">
      <c r="O70">
        <v>68</v>
      </c>
    </row>
    <row r="71" spans="15:15" x14ac:dyDescent="0.55000000000000004">
      <c r="O71">
        <v>69</v>
      </c>
    </row>
    <row r="72" spans="15:15" x14ac:dyDescent="0.55000000000000004">
      <c r="O72">
        <v>70</v>
      </c>
    </row>
    <row r="73" spans="15:15" x14ac:dyDescent="0.55000000000000004">
      <c r="O73">
        <v>71</v>
      </c>
    </row>
    <row r="74" spans="15:15" x14ac:dyDescent="0.55000000000000004">
      <c r="O74">
        <v>72</v>
      </c>
    </row>
    <row r="75" spans="15:15" x14ac:dyDescent="0.55000000000000004">
      <c r="O75">
        <v>73</v>
      </c>
    </row>
    <row r="76" spans="15:15" x14ac:dyDescent="0.55000000000000004">
      <c r="O76">
        <v>74</v>
      </c>
    </row>
    <row r="77" spans="15:15" x14ac:dyDescent="0.55000000000000004">
      <c r="O77">
        <v>75</v>
      </c>
    </row>
    <row r="78" spans="15:15" x14ac:dyDescent="0.55000000000000004">
      <c r="O78">
        <v>76</v>
      </c>
    </row>
    <row r="79" spans="15:15" x14ac:dyDescent="0.55000000000000004">
      <c r="O79">
        <v>77</v>
      </c>
    </row>
    <row r="80" spans="15:15" x14ac:dyDescent="0.55000000000000004">
      <c r="O80">
        <v>78</v>
      </c>
    </row>
    <row r="81" spans="15:15" x14ac:dyDescent="0.55000000000000004">
      <c r="O81">
        <v>79</v>
      </c>
    </row>
    <row r="82" spans="15:15" x14ac:dyDescent="0.55000000000000004">
      <c r="O82">
        <v>80</v>
      </c>
    </row>
    <row r="83" spans="15:15" x14ac:dyDescent="0.55000000000000004">
      <c r="O83">
        <v>81</v>
      </c>
    </row>
    <row r="84" spans="15:15" x14ac:dyDescent="0.55000000000000004">
      <c r="O84">
        <v>82</v>
      </c>
    </row>
    <row r="85" spans="15:15" x14ac:dyDescent="0.55000000000000004">
      <c r="O85">
        <v>83</v>
      </c>
    </row>
    <row r="86" spans="15:15" x14ac:dyDescent="0.55000000000000004">
      <c r="O86">
        <v>84</v>
      </c>
    </row>
    <row r="87" spans="15:15" x14ac:dyDescent="0.55000000000000004">
      <c r="O87">
        <v>85</v>
      </c>
    </row>
    <row r="88" spans="15:15" x14ac:dyDescent="0.55000000000000004">
      <c r="O88">
        <v>86</v>
      </c>
    </row>
    <row r="89" spans="15:15" x14ac:dyDescent="0.55000000000000004">
      <c r="O89">
        <v>87</v>
      </c>
    </row>
    <row r="90" spans="15:15" x14ac:dyDescent="0.55000000000000004">
      <c r="O90">
        <v>88</v>
      </c>
    </row>
    <row r="91" spans="15:15" x14ac:dyDescent="0.55000000000000004">
      <c r="O91">
        <v>89</v>
      </c>
    </row>
    <row r="92" spans="15:15" x14ac:dyDescent="0.55000000000000004">
      <c r="O92">
        <v>90</v>
      </c>
    </row>
    <row r="93" spans="15:15" x14ac:dyDescent="0.55000000000000004">
      <c r="O93">
        <v>91</v>
      </c>
    </row>
    <row r="94" spans="15:15" x14ac:dyDescent="0.55000000000000004">
      <c r="O94">
        <v>92</v>
      </c>
    </row>
    <row r="95" spans="15:15" x14ac:dyDescent="0.55000000000000004">
      <c r="O95">
        <v>93</v>
      </c>
    </row>
    <row r="96" spans="15:15" x14ac:dyDescent="0.55000000000000004">
      <c r="O96">
        <v>94</v>
      </c>
    </row>
    <row r="97" spans="15:15" x14ac:dyDescent="0.55000000000000004">
      <c r="O97">
        <v>95</v>
      </c>
    </row>
    <row r="98" spans="15:15" x14ac:dyDescent="0.55000000000000004">
      <c r="O98">
        <v>96</v>
      </c>
    </row>
    <row r="99" spans="15:15" x14ac:dyDescent="0.55000000000000004">
      <c r="O99">
        <v>97</v>
      </c>
    </row>
    <row r="100" spans="15:15" x14ac:dyDescent="0.55000000000000004">
      <c r="O100">
        <v>98</v>
      </c>
    </row>
    <row r="101" spans="15:15" x14ac:dyDescent="0.55000000000000004">
      <c r="O101">
        <v>99</v>
      </c>
    </row>
    <row r="102" spans="15:15" x14ac:dyDescent="0.55000000000000004">
      <c r="O102">
        <v>100</v>
      </c>
    </row>
    <row r="103" spans="15:15" x14ac:dyDescent="0.55000000000000004">
      <c r="O103">
        <v>101</v>
      </c>
    </row>
    <row r="104" spans="15:15" x14ac:dyDescent="0.55000000000000004">
      <c r="O104">
        <v>102</v>
      </c>
    </row>
    <row r="105" spans="15:15" x14ac:dyDescent="0.55000000000000004">
      <c r="O105">
        <v>103</v>
      </c>
    </row>
    <row r="106" spans="15:15" x14ac:dyDescent="0.55000000000000004">
      <c r="O106">
        <v>104</v>
      </c>
    </row>
    <row r="107" spans="15:15" x14ac:dyDescent="0.55000000000000004">
      <c r="O107">
        <v>105</v>
      </c>
    </row>
    <row r="108" spans="15:15" x14ac:dyDescent="0.55000000000000004">
      <c r="O108">
        <v>106</v>
      </c>
    </row>
    <row r="109" spans="15:15" x14ac:dyDescent="0.55000000000000004">
      <c r="O109">
        <v>107</v>
      </c>
    </row>
    <row r="110" spans="15:15" x14ac:dyDescent="0.55000000000000004">
      <c r="O110">
        <v>108</v>
      </c>
    </row>
    <row r="111" spans="15:15" x14ac:dyDescent="0.55000000000000004">
      <c r="O111">
        <v>109</v>
      </c>
    </row>
    <row r="112" spans="15:15" x14ac:dyDescent="0.55000000000000004">
      <c r="O112">
        <v>110</v>
      </c>
    </row>
    <row r="113" spans="15:15" x14ac:dyDescent="0.55000000000000004">
      <c r="O113">
        <v>111</v>
      </c>
    </row>
    <row r="114" spans="15:15" x14ac:dyDescent="0.55000000000000004">
      <c r="O114">
        <v>112</v>
      </c>
    </row>
    <row r="115" spans="15:15" x14ac:dyDescent="0.55000000000000004">
      <c r="O115">
        <v>113</v>
      </c>
    </row>
    <row r="116" spans="15:15" x14ac:dyDescent="0.55000000000000004">
      <c r="O116">
        <v>114</v>
      </c>
    </row>
    <row r="117" spans="15:15" x14ac:dyDescent="0.55000000000000004">
      <c r="O117">
        <v>115</v>
      </c>
    </row>
    <row r="118" spans="15:15" x14ac:dyDescent="0.55000000000000004">
      <c r="O118">
        <v>116</v>
      </c>
    </row>
    <row r="119" spans="15:15" x14ac:dyDescent="0.55000000000000004">
      <c r="O119">
        <v>117</v>
      </c>
    </row>
    <row r="120" spans="15:15" x14ac:dyDescent="0.55000000000000004">
      <c r="O120">
        <v>118</v>
      </c>
    </row>
    <row r="121" spans="15:15" x14ac:dyDescent="0.55000000000000004">
      <c r="O121">
        <v>119</v>
      </c>
    </row>
    <row r="122" spans="15:15" x14ac:dyDescent="0.55000000000000004">
      <c r="O122">
        <v>120</v>
      </c>
    </row>
    <row r="123" spans="15:15" x14ac:dyDescent="0.55000000000000004">
      <c r="O123">
        <v>121</v>
      </c>
    </row>
    <row r="124" spans="15:15" x14ac:dyDescent="0.55000000000000004">
      <c r="O124">
        <v>122</v>
      </c>
    </row>
    <row r="125" spans="15:15" x14ac:dyDescent="0.55000000000000004">
      <c r="O125">
        <v>123</v>
      </c>
    </row>
    <row r="126" spans="15:15" x14ac:dyDescent="0.55000000000000004">
      <c r="O126">
        <v>124</v>
      </c>
    </row>
    <row r="127" spans="15:15" x14ac:dyDescent="0.55000000000000004">
      <c r="O127">
        <v>125</v>
      </c>
    </row>
    <row r="128" spans="15:15" x14ac:dyDescent="0.55000000000000004">
      <c r="O128">
        <v>126</v>
      </c>
    </row>
    <row r="129" spans="15:15" x14ac:dyDescent="0.55000000000000004">
      <c r="O129">
        <v>127</v>
      </c>
    </row>
    <row r="130" spans="15:15" x14ac:dyDescent="0.55000000000000004">
      <c r="O130">
        <v>128</v>
      </c>
    </row>
    <row r="131" spans="15:15" x14ac:dyDescent="0.55000000000000004">
      <c r="O131">
        <v>129</v>
      </c>
    </row>
    <row r="132" spans="15:15" x14ac:dyDescent="0.55000000000000004">
      <c r="O132">
        <v>130</v>
      </c>
    </row>
    <row r="133" spans="15:15" x14ac:dyDescent="0.55000000000000004">
      <c r="O133">
        <v>131</v>
      </c>
    </row>
    <row r="134" spans="15:15" x14ac:dyDescent="0.55000000000000004">
      <c r="O134">
        <v>132</v>
      </c>
    </row>
    <row r="135" spans="15:15" x14ac:dyDescent="0.55000000000000004">
      <c r="O135">
        <v>133</v>
      </c>
    </row>
    <row r="136" spans="15:15" x14ac:dyDescent="0.55000000000000004">
      <c r="O136">
        <v>134</v>
      </c>
    </row>
    <row r="137" spans="15:15" x14ac:dyDescent="0.55000000000000004">
      <c r="O137">
        <v>135</v>
      </c>
    </row>
    <row r="138" spans="15:15" x14ac:dyDescent="0.55000000000000004">
      <c r="O138">
        <v>136</v>
      </c>
    </row>
    <row r="139" spans="15:15" x14ac:dyDescent="0.55000000000000004">
      <c r="O139">
        <v>137</v>
      </c>
    </row>
    <row r="140" spans="15:15" x14ac:dyDescent="0.55000000000000004">
      <c r="O140">
        <v>138</v>
      </c>
    </row>
    <row r="141" spans="15:15" x14ac:dyDescent="0.55000000000000004">
      <c r="O141">
        <v>139</v>
      </c>
    </row>
    <row r="142" spans="15:15" x14ac:dyDescent="0.55000000000000004">
      <c r="O142">
        <v>140</v>
      </c>
    </row>
    <row r="143" spans="15:15" x14ac:dyDescent="0.55000000000000004">
      <c r="O143">
        <v>141</v>
      </c>
    </row>
    <row r="144" spans="15:15" x14ac:dyDescent="0.55000000000000004">
      <c r="O144">
        <v>142</v>
      </c>
    </row>
    <row r="145" spans="15:15" x14ac:dyDescent="0.55000000000000004">
      <c r="O145">
        <v>143</v>
      </c>
    </row>
    <row r="146" spans="15:15" x14ac:dyDescent="0.55000000000000004">
      <c r="O146">
        <v>144</v>
      </c>
    </row>
    <row r="147" spans="15:15" x14ac:dyDescent="0.55000000000000004">
      <c r="O147">
        <v>145</v>
      </c>
    </row>
    <row r="148" spans="15:15" x14ac:dyDescent="0.55000000000000004">
      <c r="O148">
        <v>146</v>
      </c>
    </row>
    <row r="149" spans="15:15" x14ac:dyDescent="0.55000000000000004">
      <c r="O149">
        <v>147</v>
      </c>
    </row>
    <row r="150" spans="15:15" x14ac:dyDescent="0.55000000000000004">
      <c r="O150">
        <v>148</v>
      </c>
    </row>
    <row r="151" spans="15:15" x14ac:dyDescent="0.55000000000000004">
      <c r="O151">
        <v>149</v>
      </c>
    </row>
    <row r="152" spans="15:15" x14ac:dyDescent="0.55000000000000004">
      <c r="O152">
        <v>150</v>
      </c>
    </row>
    <row r="153" spans="15:15" x14ac:dyDescent="0.55000000000000004">
      <c r="O153">
        <v>151</v>
      </c>
    </row>
    <row r="154" spans="15:15" x14ac:dyDescent="0.55000000000000004">
      <c r="O154">
        <v>152</v>
      </c>
    </row>
    <row r="155" spans="15:15" x14ac:dyDescent="0.55000000000000004">
      <c r="O155">
        <v>153</v>
      </c>
    </row>
    <row r="156" spans="15:15" x14ac:dyDescent="0.55000000000000004">
      <c r="O156">
        <v>154</v>
      </c>
    </row>
    <row r="157" spans="15:15" x14ac:dyDescent="0.55000000000000004">
      <c r="O157">
        <v>155</v>
      </c>
    </row>
    <row r="158" spans="15:15" x14ac:dyDescent="0.55000000000000004">
      <c r="O158">
        <v>156</v>
      </c>
    </row>
    <row r="159" spans="15:15" x14ac:dyDescent="0.55000000000000004">
      <c r="O159">
        <v>157</v>
      </c>
    </row>
    <row r="160" spans="15:15" x14ac:dyDescent="0.55000000000000004">
      <c r="O160">
        <v>158</v>
      </c>
    </row>
    <row r="161" spans="15:15" x14ac:dyDescent="0.55000000000000004">
      <c r="O161">
        <v>159</v>
      </c>
    </row>
    <row r="162" spans="15:15" x14ac:dyDescent="0.55000000000000004">
      <c r="O162">
        <v>160</v>
      </c>
    </row>
    <row r="163" spans="15:15" x14ac:dyDescent="0.55000000000000004">
      <c r="O163">
        <v>161</v>
      </c>
    </row>
    <row r="164" spans="15:15" x14ac:dyDescent="0.55000000000000004">
      <c r="O164">
        <v>162</v>
      </c>
    </row>
    <row r="165" spans="15:15" x14ac:dyDescent="0.55000000000000004">
      <c r="O165">
        <v>163</v>
      </c>
    </row>
    <row r="166" spans="15:15" x14ac:dyDescent="0.55000000000000004">
      <c r="O166">
        <v>164</v>
      </c>
    </row>
    <row r="167" spans="15:15" x14ac:dyDescent="0.55000000000000004">
      <c r="O167">
        <v>165</v>
      </c>
    </row>
    <row r="168" spans="15:15" x14ac:dyDescent="0.55000000000000004">
      <c r="O168">
        <v>166</v>
      </c>
    </row>
    <row r="169" spans="15:15" x14ac:dyDescent="0.55000000000000004">
      <c r="O169">
        <v>167</v>
      </c>
    </row>
    <row r="170" spans="15:15" x14ac:dyDescent="0.55000000000000004">
      <c r="O170">
        <v>168</v>
      </c>
    </row>
    <row r="171" spans="15:15" x14ac:dyDescent="0.55000000000000004">
      <c r="O171">
        <v>169</v>
      </c>
    </row>
    <row r="172" spans="15:15" x14ac:dyDescent="0.55000000000000004">
      <c r="O172">
        <v>170</v>
      </c>
    </row>
    <row r="173" spans="15:15" x14ac:dyDescent="0.55000000000000004">
      <c r="O173">
        <v>171</v>
      </c>
    </row>
    <row r="174" spans="15:15" x14ac:dyDescent="0.55000000000000004">
      <c r="O174">
        <v>172</v>
      </c>
    </row>
    <row r="175" spans="15:15" x14ac:dyDescent="0.55000000000000004">
      <c r="O175">
        <v>173</v>
      </c>
    </row>
    <row r="176" spans="15:15" x14ac:dyDescent="0.55000000000000004">
      <c r="O176">
        <v>174</v>
      </c>
    </row>
    <row r="177" spans="15:15" x14ac:dyDescent="0.55000000000000004">
      <c r="O177">
        <v>175</v>
      </c>
    </row>
    <row r="178" spans="15:15" x14ac:dyDescent="0.55000000000000004">
      <c r="O178">
        <v>176</v>
      </c>
    </row>
    <row r="179" spans="15:15" x14ac:dyDescent="0.55000000000000004">
      <c r="O179">
        <v>177</v>
      </c>
    </row>
    <row r="180" spans="15:15" x14ac:dyDescent="0.55000000000000004">
      <c r="O180">
        <v>178</v>
      </c>
    </row>
    <row r="181" spans="15:15" x14ac:dyDescent="0.55000000000000004">
      <c r="O181">
        <v>179</v>
      </c>
    </row>
    <row r="182" spans="15:15" x14ac:dyDescent="0.55000000000000004">
      <c r="O182">
        <v>180</v>
      </c>
    </row>
    <row r="183" spans="15:15" x14ac:dyDescent="0.55000000000000004">
      <c r="O183">
        <v>181</v>
      </c>
    </row>
    <row r="184" spans="15:15" x14ac:dyDescent="0.55000000000000004">
      <c r="O184">
        <v>182</v>
      </c>
    </row>
    <row r="185" spans="15:15" x14ac:dyDescent="0.55000000000000004">
      <c r="O185">
        <v>183</v>
      </c>
    </row>
    <row r="186" spans="15:15" x14ac:dyDescent="0.55000000000000004">
      <c r="O186">
        <v>184</v>
      </c>
    </row>
    <row r="187" spans="15:15" x14ac:dyDescent="0.55000000000000004">
      <c r="O187">
        <v>185</v>
      </c>
    </row>
    <row r="188" spans="15:15" x14ac:dyDescent="0.55000000000000004">
      <c r="O188">
        <v>186</v>
      </c>
    </row>
    <row r="189" spans="15:15" x14ac:dyDescent="0.55000000000000004">
      <c r="O189">
        <v>187</v>
      </c>
    </row>
    <row r="190" spans="15:15" x14ac:dyDescent="0.55000000000000004">
      <c r="O190">
        <v>188</v>
      </c>
    </row>
    <row r="191" spans="15:15" x14ac:dyDescent="0.55000000000000004">
      <c r="O191">
        <v>189</v>
      </c>
    </row>
    <row r="192" spans="15:15" x14ac:dyDescent="0.55000000000000004">
      <c r="O192">
        <v>190</v>
      </c>
    </row>
    <row r="193" spans="15:15" x14ac:dyDescent="0.55000000000000004">
      <c r="O193">
        <v>191</v>
      </c>
    </row>
    <row r="194" spans="15:15" x14ac:dyDescent="0.55000000000000004">
      <c r="O194">
        <v>192</v>
      </c>
    </row>
    <row r="195" spans="15:15" x14ac:dyDescent="0.55000000000000004">
      <c r="O195">
        <v>193</v>
      </c>
    </row>
    <row r="196" spans="15:15" x14ac:dyDescent="0.55000000000000004">
      <c r="O196">
        <v>194</v>
      </c>
    </row>
    <row r="197" spans="15:15" x14ac:dyDescent="0.55000000000000004">
      <c r="O197">
        <v>195</v>
      </c>
    </row>
    <row r="198" spans="15:15" x14ac:dyDescent="0.55000000000000004">
      <c r="O198">
        <v>196</v>
      </c>
    </row>
    <row r="199" spans="15:15" x14ac:dyDescent="0.55000000000000004">
      <c r="O199">
        <v>197</v>
      </c>
    </row>
    <row r="200" spans="15:15" x14ac:dyDescent="0.55000000000000004">
      <c r="O200">
        <v>198</v>
      </c>
    </row>
    <row r="201" spans="15:15" x14ac:dyDescent="0.55000000000000004">
      <c r="O201">
        <v>199</v>
      </c>
    </row>
    <row r="202" spans="15:15" x14ac:dyDescent="0.55000000000000004">
      <c r="O202">
        <v>200</v>
      </c>
    </row>
    <row r="203" spans="15:15" x14ac:dyDescent="0.55000000000000004">
      <c r="O203">
        <v>201</v>
      </c>
    </row>
    <row r="204" spans="15:15" x14ac:dyDescent="0.55000000000000004">
      <c r="O204">
        <v>202</v>
      </c>
    </row>
    <row r="205" spans="15:15" x14ac:dyDescent="0.55000000000000004">
      <c r="O205">
        <v>203</v>
      </c>
    </row>
    <row r="206" spans="15:15" x14ac:dyDescent="0.55000000000000004">
      <c r="O206">
        <v>204</v>
      </c>
    </row>
    <row r="207" spans="15:15" x14ac:dyDescent="0.55000000000000004">
      <c r="O207">
        <v>205</v>
      </c>
    </row>
    <row r="208" spans="15:15" x14ac:dyDescent="0.55000000000000004">
      <c r="O208">
        <v>206</v>
      </c>
    </row>
    <row r="209" spans="15:15" x14ac:dyDescent="0.55000000000000004">
      <c r="O209">
        <v>207</v>
      </c>
    </row>
    <row r="210" spans="15:15" x14ac:dyDescent="0.55000000000000004">
      <c r="O210">
        <v>208</v>
      </c>
    </row>
    <row r="211" spans="15:15" x14ac:dyDescent="0.55000000000000004">
      <c r="O211">
        <v>209</v>
      </c>
    </row>
    <row r="212" spans="15:15" x14ac:dyDescent="0.55000000000000004">
      <c r="O212">
        <v>210</v>
      </c>
    </row>
    <row r="213" spans="15:15" x14ac:dyDescent="0.55000000000000004">
      <c r="O213">
        <v>211</v>
      </c>
    </row>
    <row r="214" spans="15:15" x14ac:dyDescent="0.55000000000000004">
      <c r="O214">
        <v>212</v>
      </c>
    </row>
    <row r="215" spans="15:15" x14ac:dyDescent="0.55000000000000004">
      <c r="O215">
        <v>213</v>
      </c>
    </row>
    <row r="216" spans="15:15" x14ac:dyDescent="0.55000000000000004">
      <c r="O216">
        <v>214</v>
      </c>
    </row>
    <row r="217" spans="15:15" x14ac:dyDescent="0.55000000000000004">
      <c r="O217">
        <v>215</v>
      </c>
    </row>
    <row r="218" spans="15:15" x14ac:dyDescent="0.55000000000000004">
      <c r="O218">
        <v>216</v>
      </c>
    </row>
    <row r="219" spans="15:15" x14ac:dyDescent="0.55000000000000004">
      <c r="O219">
        <v>217</v>
      </c>
    </row>
    <row r="220" spans="15:15" x14ac:dyDescent="0.55000000000000004">
      <c r="O220">
        <v>218</v>
      </c>
    </row>
    <row r="221" spans="15:15" x14ac:dyDescent="0.55000000000000004">
      <c r="O221">
        <v>219</v>
      </c>
    </row>
    <row r="222" spans="15:15" x14ac:dyDescent="0.55000000000000004">
      <c r="O222">
        <v>220</v>
      </c>
    </row>
    <row r="223" spans="15:15" x14ac:dyDescent="0.55000000000000004">
      <c r="O223">
        <v>221</v>
      </c>
    </row>
    <row r="224" spans="15:15" x14ac:dyDescent="0.55000000000000004">
      <c r="O224">
        <v>222</v>
      </c>
    </row>
    <row r="225" spans="15:15" x14ac:dyDescent="0.55000000000000004">
      <c r="O225">
        <v>223</v>
      </c>
    </row>
    <row r="226" spans="15:15" x14ac:dyDescent="0.55000000000000004">
      <c r="O226">
        <v>224</v>
      </c>
    </row>
    <row r="227" spans="15:15" x14ac:dyDescent="0.55000000000000004">
      <c r="O227">
        <v>225</v>
      </c>
    </row>
    <row r="228" spans="15:15" x14ac:dyDescent="0.55000000000000004">
      <c r="O228">
        <v>226</v>
      </c>
    </row>
    <row r="229" spans="15:15" x14ac:dyDescent="0.55000000000000004">
      <c r="O229">
        <v>227</v>
      </c>
    </row>
    <row r="230" spans="15:15" x14ac:dyDescent="0.55000000000000004">
      <c r="O230">
        <v>228</v>
      </c>
    </row>
    <row r="231" spans="15:15" x14ac:dyDescent="0.55000000000000004">
      <c r="O231">
        <v>229</v>
      </c>
    </row>
    <row r="232" spans="15:15" x14ac:dyDescent="0.55000000000000004">
      <c r="O232">
        <v>230</v>
      </c>
    </row>
    <row r="233" spans="15:15" x14ac:dyDescent="0.55000000000000004">
      <c r="O233">
        <v>231</v>
      </c>
    </row>
    <row r="234" spans="15:15" x14ac:dyDescent="0.55000000000000004">
      <c r="O234">
        <v>232</v>
      </c>
    </row>
    <row r="235" spans="15:15" x14ac:dyDescent="0.55000000000000004">
      <c r="O235">
        <v>233</v>
      </c>
    </row>
    <row r="236" spans="15:15" x14ac:dyDescent="0.55000000000000004">
      <c r="O236">
        <v>234</v>
      </c>
    </row>
    <row r="237" spans="15:15" x14ac:dyDescent="0.55000000000000004">
      <c r="O237">
        <v>235</v>
      </c>
    </row>
    <row r="238" spans="15:15" x14ac:dyDescent="0.55000000000000004">
      <c r="O238">
        <v>236</v>
      </c>
    </row>
    <row r="239" spans="15:15" x14ac:dyDescent="0.55000000000000004">
      <c r="O239">
        <v>237</v>
      </c>
    </row>
    <row r="240" spans="15:15" x14ac:dyDescent="0.55000000000000004">
      <c r="O240">
        <v>238</v>
      </c>
    </row>
    <row r="241" spans="15:15" x14ac:dyDescent="0.55000000000000004">
      <c r="O241">
        <v>239</v>
      </c>
    </row>
    <row r="242" spans="15:15" x14ac:dyDescent="0.55000000000000004">
      <c r="O242">
        <v>240</v>
      </c>
    </row>
    <row r="243" spans="15:15" x14ac:dyDescent="0.55000000000000004">
      <c r="O243">
        <v>241</v>
      </c>
    </row>
    <row r="244" spans="15:15" x14ac:dyDescent="0.55000000000000004">
      <c r="O244">
        <v>242</v>
      </c>
    </row>
    <row r="245" spans="15:15" x14ac:dyDescent="0.55000000000000004">
      <c r="O245">
        <v>243</v>
      </c>
    </row>
    <row r="246" spans="15:15" x14ac:dyDescent="0.55000000000000004">
      <c r="O246">
        <v>244</v>
      </c>
    </row>
    <row r="247" spans="15:15" x14ac:dyDescent="0.55000000000000004">
      <c r="O247">
        <v>245</v>
      </c>
    </row>
    <row r="248" spans="15:15" x14ac:dyDescent="0.55000000000000004">
      <c r="O248">
        <v>246</v>
      </c>
    </row>
    <row r="249" spans="15:15" x14ac:dyDescent="0.55000000000000004">
      <c r="O249">
        <v>247</v>
      </c>
    </row>
    <row r="250" spans="15:15" x14ac:dyDescent="0.55000000000000004">
      <c r="O250">
        <v>248</v>
      </c>
    </row>
    <row r="251" spans="15:15" x14ac:dyDescent="0.55000000000000004">
      <c r="O251">
        <v>249</v>
      </c>
    </row>
    <row r="252" spans="15:15" x14ac:dyDescent="0.55000000000000004">
      <c r="O252">
        <v>250</v>
      </c>
    </row>
    <row r="253" spans="15:15" x14ac:dyDescent="0.55000000000000004">
      <c r="O253">
        <v>251</v>
      </c>
    </row>
    <row r="254" spans="15:15" x14ac:dyDescent="0.55000000000000004">
      <c r="O254">
        <v>252</v>
      </c>
    </row>
    <row r="255" spans="15:15" x14ac:dyDescent="0.55000000000000004">
      <c r="O255">
        <v>253</v>
      </c>
    </row>
    <row r="256" spans="15:15" x14ac:dyDescent="0.55000000000000004">
      <c r="O256">
        <v>254</v>
      </c>
    </row>
    <row r="257" spans="15:15" x14ac:dyDescent="0.55000000000000004">
      <c r="O257">
        <v>255</v>
      </c>
    </row>
    <row r="258" spans="15:15" x14ac:dyDescent="0.55000000000000004">
      <c r="O258">
        <v>256</v>
      </c>
    </row>
    <row r="259" spans="15:15" x14ac:dyDescent="0.55000000000000004">
      <c r="O259">
        <v>257</v>
      </c>
    </row>
    <row r="260" spans="15:15" x14ac:dyDescent="0.55000000000000004">
      <c r="O260">
        <v>258</v>
      </c>
    </row>
    <row r="261" spans="15:15" x14ac:dyDescent="0.55000000000000004">
      <c r="O261">
        <v>259</v>
      </c>
    </row>
    <row r="262" spans="15:15" x14ac:dyDescent="0.55000000000000004">
      <c r="O262">
        <v>260</v>
      </c>
    </row>
    <row r="263" spans="15:15" x14ac:dyDescent="0.55000000000000004">
      <c r="O263">
        <v>261</v>
      </c>
    </row>
    <row r="264" spans="15:15" x14ac:dyDescent="0.55000000000000004">
      <c r="O264">
        <v>262</v>
      </c>
    </row>
    <row r="265" spans="15:15" x14ac:dyDescent="0.55000000000000004">
      <c r="O265">
        <v>263</v>
      </c>
    </row>
    <row r="266" spans="15:15" x14ac:dyDescent="0.55000000000000004">
      <c r="O266">
        <v>264</v>
      </c>
    </row>
    <row r="267" spans="15:15" x14ac:dyDescent="0.55000000000000004">
      <c r="O267">
        <v>265</v>
      </c>
    </row>
    <row r="268" spans="15:15" x14ac:dyDescent="0.55000000000000004">
      <c r="O268">
        <v>266</v>
      </c>
    </row>
    <row r="269" spans="15:15" x14ac:dyDescent="0.55000000000000004">
      <c r="O269">
        <v>267</v>
      </c>
    </row>
    <row r="270" spans="15:15" x14ac:dyDescent="0.55000000000000004">
      <c r="O270">
        <v>268</v>
      </c>
    </row>
    <row r="271" spans="15:15" x14ac:dyDescent="0.55000000000000004">
      <c r="O271">
        <v>269</v>
      </c>
    </row>
    <row r="272" spans="15:15" x14ac:dyDescent="0.55000000000000004">
      <c r="O272">
        <v>270</v>
      </c>
    </row>
    <row r="273" spans="15:15" x14ac:dyDescent="0.55000000000000004">
      <c r="O273">
        <v>271</v>
      </c>
    </row>
    <row r="274" spans="15:15" x14ac:dyDescent="0.55000000000000004">
      <c r="O274">
        <v>272</v>
      </c>
    </row>
    <row r="275" spans="15:15" x14ac:dyDescent="0.55000000000000004">
      <c r="O275">
        <v>273</v>
      </c>
    </row>
    <row r="276" spans="15:15" x14ac:dyDescent="0.55000000000000004">
      <c r="O276">
        <v>274</v>
      </c>
    </row>
    <row r="277" spans="15:15" x14ac:dyDescent="0.55000000000000004">
      <c r="O277">
        <v>275</v>
      </c>
    </row>
    <row r="278" spans="15:15" x14ac:dyDescent="0.55000000000000004">
      <c r="O278">
        <v>276</v>
      </c>
    </row>
    <row r="279" spans="15:15" x14ac:dyDescent="0.55000000000000004">
      <c r="O279">
        <v>277</v>
      </c>
    </row>
    <row r="280" spans="15:15" x14ac:dyDescent="0.55000000000000004">
      <c r="O280">
        <v>278</v>
      </c>
    </row>
    <row r="281" spans="15:15" x14ac:dyDescent="0.55000000000000004">
      <c r="O281">
        <v>279</v>
      </c>
    </row>
    <row r="282" spans="15:15" x14ac:dyDescent="0.55000000000000004">
      <c r="O282">
        <v>280</v>
      </c>
    </row>
    <row r="283" spans="15:15" x14ac:dyDescent="0.55000000000000004">
      <c r="O283">
        <v>281</v>
      </c>
    </row>
    <row r="284" spans="15:15" x14ac:dyDescent="0.55000000000000004">
      <c r="O284">
        <v>282</v>
      </c>
    </row>
    <row r="285" spans="15:15" x14ac:dyDescent="0.55000000000000004">
      <c r="O285">
        <v>283</v>
      </c>
    </row>
    <row r="286" spans="15:15" x14ac:dyDescent="0.55000000000000004">
      <c r="O286">
        <v>284</v>
      </c>
    </row>
    <row r="287" spans="15:15" x14ac:dyDescent="0.55000000000000004">
      <c r="O287">
        <v>285</v>
      </c>
    </row>
    <row r="288" spans="15:15" x14ac:dyDescent="0.55000000000000004">
      <c r="O288">
        <v>286</v>
      </c>
    </row>
    <row r="289" spans="15:15" x14ac:dyDescent="0.55000000000000004">
      <c r="O289">
        <v>287</v>
      </c>
    </row>
    <row r="290" spans="15:15" x14ac:dyDescent="0.55000000000000004">
      <c r="O290">
        <v>288</v>
      </c>
    </row>
    <row r="291" spans="15:15" x14ac:dyDescent="0.55000000000000004">
      <c r="O291">
        <v>289</v>
      </c>
    </row>
    <row r="292" spans="15:15" x14ac:dyDescent="0.55000000000000004">
      <c r="O292">
        <v>290</v>
      </c>
    </row>
    <row r="293" spans="15:15" x14ac:dyDescent="0.55000000000000004">
      <c r="O293">
        <v>291</v>
      </c>
    </row>
    <row r="294" spans="15:15" x14ac:dyDescent="0.55000000000000004">
      <c r="O294">
        <v>292</v>
      </c>
    </row>
    <row r="295" spans="15:15" x14ac:dyDescent="0.55000000000000004">
      <c r="O295">
        <v>293</v>
      </c>
    </row>
    <row r="296" spans="15:15" x14ac:dyDescent="0.55000000000000004">
      <c r="O296">
        <v>294</v>
      </c>
    </row>
    <row r="297" spans="15:15" x14ac:dyDescent="0.55000000000000004">
      <c r="O297">
        <v>295</v>
      </c>
    </row>
    <row r="298" spans="15:15" x14ac:dyDescent="0.55000000000000004">
      <c r="O298">
        <v>296</v>
      </c>
    </row>
    <row r="299" spans="15:15" x14ac:dyDescent="0.55000000000000004">
      <c r="O299">
        <v>297</v>
      </c>
    </row>
  </sheetData>
  <mergeCells count="1">
    <mergeCell ref="I13:J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>
      <selection activeCell="O7" sqref="O7"/>
    </sheetView>
  </sheetViews>
  <sheetFormatPr baseColWidth="10" defaultRowHeight="14.4" x14ac:dyDescent="0.55000000000000004"/>
  <cols>
    <col min="1" max="1" width="14.05078125" bestFit="1" customWidth="1"/>
    <col min="2" max="2" width="16.7890625" bestFit="1" customWidth="1"/>
    <col min="3" max="3" width="11.9453125" bestFit="1" customWidth="1"/>
  </cols>
  <sheetData>
    <row r="1" spans="1:9" ht="29.7" customHeight="1" thickBot="1" x14ac:dyDescent="0.6">
      <c r="A1" s="107" t="s">
        <v>294</v>
      </c>
      <c r="B1" s="108" t="s">
        <v>293</v>
      </c>
      <c r="C1" s="108" t="s">
        <v>295</v>
      </c>
      <c r="D1" s="107" t="s">
        <v>296</v>
      </c>
      <c r="E1" s="107" t="s">
        <v>269</v>
      </c>
      <c r="F1" s="109" t="s">
        <v>278</v>
      </c>
      <c r="G1" s="109" t="s">
        <v>281</v>
      </c>
      <c r="H1" s="110" t="s">
        <v>278</v>
      </c>
      <c r="I1" s="110" t="s">
        <v>281</v>
      </c>
    </row>
    <row r="2" spans="1:9" x14ac:dyDescent="0.55000000000000004">
      <c r="A2" s="42" t="s">
        <v>15</v>
      </c>
      <c r="B2" s="79">
        <v>1.9465277777777779</v>
      </c>
      <c r="C2" s="80">
        <v>10</v>
      </c>
      <c r="D2" s="76">
        <v>15</v>
      </c>
      <c r="E2" s="76">
        <v>397.4</v>
      </c>
      <c r="F2" s="100">
        <v>42983</v>
      </c>
      <c r="G2" s="101">
        <v>42996</v>
      </c>
      <c r="H2" s="98">
        <v>42983</v>
      </c>
      <c r="I2" s="98">
        <v>42989</v>
      </c>
    </row>
    <row r="3" spans="1:9" x14ac:dyDescent="0.55000000000000004">
      <c r="A3" s="5" t="s">
        <v>280</v>
      </c>
      <c r="B3" s="79">
        <v>0.95138888888888884</v>
      </c>
      <c r="C3" s="80">
        <v>5</v>
      </c>
      <c r="D3" s="76">
        <v>8</v>
      </c>
      <c r="E3" s="76">
        <v>198.48000000000002</v>
      </c>
      <c r="F3" s="102">
        <v>42997</v>
      </c>
      <c r="G3" s="101">
        <v>43003</v>
      </c>
      <c r="H3" s="99">
        <v>42990</v>
      </c>
      <c r="I3" s="99">
        <v>42991</v>
      </c>
    </row>
    <row r="4" spans="1:9" x14ac:dyDescent="0.55000000000000004">
      <c r="A4" s="5" t="s">
        <v>279</v>
      </c>
      <c r="B4" s="79">
        <v>0.41388888888888886</v>
      </c>
      <c r="C4" s="80">
        <v>3</v>
      </c>
      <c r="D4" s="76">
        <v>5</v>
      </c>
      <c r="E4" s="76">
        <v>83.78</v>
      </c>
      <c r="F4" s="102">
        <v>43003</v>
      </c>
      <c r="G4" s="101">
        <v>43005</v>
      </c>
      <c r="H4" s="99">
        <v>42991</v>
      </c>
      <c r="I4" s="99">
        <v>42991</v>
      </c>
    </row>
    <row r="5" spans="1:9" x14ac:dyDescent="0.55000000000000004">
      <c r="A5" s="5" t="s">
        <v>59</v>
      </c>
      <c r="B5" s="79">
        <v>2.3840277777777779</v>
      </c>
      <c r="C5" s="80">
        <v>12</v>
      </c>
      <c r="D5" s="76">
        <v>23</v>
      </c>
      <c r="E5" s="76">
        <v>553.07000000000005</v>
      </c>
      <c r="F5" s="102">
        <v>43006</v>
      </c>
      <c r="G5" s="101">
        <v>43023</v>
      </c>
      <c r="H5" s="99">
        <v>42992</v>
      </c>
      <c r="I5" s="99">
        <v>42999</v>
      </c>
    </row>
    <row r="6" spans="1:9" x14ac:dyDescent="0.55000000000000004">
      <c r="A6" s="5" t="s">
        <v>70</v>
      </c>
      <c r="B6" s="79">
        <v>1.5069444444444444</v>
      </c>
      <c r="C6" s="80">
        <v>10</v>
      </c>
      <c r="D6" s="76">
        <v>15</v>
      </c>
      <c r="E6" s="76">
        <v>387</v>
      </c>
      <c r="F6" s="102">
        <v>43024</v>
      </c>
      <c r="G6" s="101">
        <v>43044</v>
      </c>
      <c r="H6" s="99">
        <v>43000</v>
      </c>
      <c r="I6" s="99">
        <v>43006</v>
      </c>
    </row>
    <row r="7" spans="1:9" x14ac:dyDescent="0.55000000000000004">
      <c r="A7" s="5" t="s">
        <v>289</v>
      </c>
      <c r="B7" s="79">
        <v>4.7083333333333321</v>
      </c>
      <c r="C7" s="80">
        <v>25</v>
      </c>
      <c r="D7" s="76">
        <v>40</v>
      </c>
      <c r="E7" s="76">
        <v>1279.3200000000002</v>
      </c>
      <c r="F7" s="102">
        <v>43045</v>
      </c>
      <c r="G7" s="101">
        <v>43079</v>
      </c>
      <c r="H7" s="99">
        <v>43007</v>
      </c>
      <c r="I7" s="99">
        <v>43024</v>
      </c>
    </row>
    <row r="8" spans="1:9" x14ac:dyDescent="0.55000000000000004">
      <c r="A8" s="5" t="s">
        <v>145</v>
      </c>
      <c r="B8" s="79">
        <v>2.5687499999999996</v>
      </c>
      <c r="C8" s="80">
        <v>16</v>
      </c>
      <c r="D8" s="76">
        <v>27</v>
      </c>
      <c r="E8" s="76">
        <v>511.73</v>
      </c>
      <c r="F8" s="102">
        <v>43077</v>
      </c>
      <c r="G8" s="101">
        <v>43109</v>
      </c>
      <c r="H8" s="99">
        <v>43022</v>
      </c>
      <c r="I8" s="99">
        <v>43039</v>
      </c>
    </row>
    <row r="9" spans="1:9" x14ac:dyDescent="0.55000000000000004">
      <c r="A9" s="5" t="s">
        <v>288</v>
      </c>
      <c r="B9" s="79">
        <v>1.1847222222222222</v>
      </c>
      <c r="C9" s="80">
        <v>9</v>
      </c>
      <c r="D9" s="76">
        <v>13</v>
      </c>
      <c r="E9" s="76">
        <v>253.64</v>
      </c>
      <c r="F9" s="102">
        <v>43104</v>
      </c>
      <c r="G9" s="101">
        <v>43116</v>
      </c>
      <c r="H9" s="99">
        <v>43034</v>
      </c>
      <c r="I9" s="99">
        <v>43040</v>
      </c>
    </row>
    <row r="10" spans="1:9" x14ac:dyDescent="0.55000000000000004">
      <c r="A10" s="5" t="s">
        <v>115</v>
      </c>
      <c r="B10" s="79">
        <v>2.9618055555555554</v>
      </c>
      <c r="C10" s="80">
        <v>17</v>
      </c>
      <c r="D10" s="76">
        <v>27</v>
      </c>
      <c r="E10" s="76">
        <v>623.11</v>
      </c>
      <c r="F10" s="102">
        <v>43115</v>
      </c>
      <c r="G10" s="101">
        <v>43137</v>
      </c>
      <c r="H10" s="99">
        <v>43039</v>
      </c>
      <c r="I10" s="99">
        <v>43048</v>
      </c>
    </row>
    <row r="11" spans="1:9" x14ac:dyDescent="0.55000000000000004">
      <c r="A11" s="5" t="s">
        <v>276</v>
      </c>
      <c r="B11" s="74">
        <v>18.626388888888886</v>
      </c>
      <c r="C11" s="72">
        <v>95</v>
      </c>
      <c r="D11" s="75">
        <v>173</v>
      </c>
      <c r="E11" s="75">
        <v>4287.53</v>
      </c>
      <c r="F11" s="105">
        <v>42983</v>
      </c>
      <c r="G11" s="106">
        <v>43137</v>
      </c>
      <c r="H11" s="103">
        <v>42983</v>
      </c>
      <c r="I11" s="104">
        <v>43048</v>
      </c>
    </row>
    <row r="12" spans="1:9" ht="14.7" thickBot="1" x14ac:dyDescent="0.6"/>
    <row r="13" spans="1:9" ht="14.7" thickBot="1" x14ac:dyDescent="0.6">
      <c r="C13" s="109"/>
      <c r="D13" t="s">
        <v>299</v>
      </c>
    </row>
    <row r="14" spans="1:9" ht="7.8" customHeight="1" thickBot="1" x14ac:dyDescent="0.6"/>
    <row r="15" spans="1:9" ht="14.7" thickBot="1" x14ac:dyDescent="0.6">
      <c r="C15" s="110"/>
      <c r="D15" t="s">
        <v>300</v>
      </c>
    </row>
  </sheetData>
  <pageMargins left="0.7" right="0.7" top="0.75" bottom="0.75" header="0.3" footer="0.3"/>
  <pageSetup paperSize="9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7CC9ACB1DB73643A89AA3E4F0F77C3C" ma:contentTypeVersion="6" ma:contentTypeDescription="Crée un document." ma:contentTypeScope="" ma:versionID="5110b978c93c8b055c8973002c62a50e">
  <xsd:schema xmlns:xsd="http://www.w3.org/2001/XMLSchema" xmlns:xs="http://www.w3.org/2001/XMLSchema" xmlns:p="http://schemas.microsoft.com/office/2006/metadata/properties" xmlns:ns2="fe68789e-9809-4410-99d1-0716903929c6" targetNamespace="http://schemas.microsoft.com/office/2006/metadata/properties" ma:root="true" ma:fieldsID="a41a0c3f5d855b759ccb9926bc5d98db" ns2:_="">
    <xsd:import namespace="fe68789e-9809-4410-99d1-0716903929c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789e-9809-4410-99d1-0716903929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861B983-FD0E-4850-B1DE-8285DCDA010A}"/>
</file>

<file path=customXml/itemProps2.xml><?xml version="1.0" encoding="utf-8"?>
<ds:datastoreItem xmlns:ds="http://schemas.openxmlformats.org/officeDocument/2006/customXml" ds:itemID="{DCDB88DE-351C-4FB9-BFA6-62AED7D6104F}"/>
</file>

<file path=customXml/itemProps3.xml><?xml version="1.0" encoding="utf-8"?>
<ds:datastoreItem xmlns:ds="http://schemas.openxmlformats.org/officeDocument/2006/customXml" ds:itemID="{BD923428-E2AA-40AD-B003-DE8CBC44D9C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21</vt:i4>
      </vt:variant>
    </vt:vector>
  </HeadingPairs>
  <TitlesOfParts>
    <vt:vector size="25" baseType="lpstr">
      <vt:lpstr>Les STL </vt:lpstr>
      <vt:lpstr>Programme Impression</vt:lpstr>
      <vt:lpstr>stats</vt:lpstr>
      <vt:lpstr>Conclusion</vt:lpstr>
      <vt:lpstr>Categorie</vt:lpstr>
      <vt:lpstr>Categorie_Piece</vt:lpstr>
      <vt:lpstr>Début</vt:lpstr>
      <vt:lpstr>Emplacement</vt:lpstr>
      <vt:lpstr>Férier</vt:lpstr>
      <vt:lpstr>Fichier_initial</vt:lpstr>
      <vt:lpstr>Fin</vt:lpstr>
      <vt:lpstr>Id_Impression</vt:lpstr>
      <vt:lpstr>J_En_commun</vt:lpstr>
      <vt:lpstr>Jour_impressions</vt:lpstr>
      <vt:lpstr>Poids</vt:lpstr>
      <vt:lpstr>Poids_g</vt:lpstr>
      <vt:lpstr>Poids_total__g</vt:lpstr>
      <vt:lpstr>Quantite</vt:lpstr>
      <vt:lpstr>Quantité_à_imprimer_12_2017</vt:lpstr>
      <vt:lpstr>Quantite_Total</vt:lpstr>
      <vt:lpstr>Rentrée</vt:lpstr>
      <vt:lpstr>Temps_de_fabrication</vt:lpstr>
      <vt:lpstr>Temps_en_minutes</vt:lpstr>
      <vt:lpstr>Temps_Total</vt:lpstr>
      <vt:lpstr>Temps_total_d_impressions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corentin lemaitre</dc:creator>
  <cp:lastModifiedBy>corentin lemaitre</cp:lastModifiedBy>
  <cp:lastPrinted>2017-04-30T20:52:20Z</cp:lastPrinted>
  <dcterms:created xsi:type="dcterms:W3CDTF">2017-04-12T22:21:49Z</dcterms:created>
  <dcterms:modified xsi:type="dcterms:W3CDTF">2017-05-04T13:23:08Z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0x01010037CC9ACB1DB73643A89AA3E4F0F77C3C</vt:lpwstr>
  </property>
</Properties>
</file>